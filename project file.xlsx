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Cache/pivotCacheRecords5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885" firstSheet="1" activeTab="2"/>
  </bookViews>
  <sheets>
    <sheet name="Sales_Data" sheetId="1" r:id="rId1"/>
    <sheet name="Profit Dashboard" sheetId="2" r:id="rId2"/>
    <sheet name="Revenue &amp; Profit by Items" sheetId="3" r:id="rId3"/>
    <sheet name="Profit by Sales Channel" sheetId="4" r:id="rId4"/>
    <sheet name="Profit by year &amp; sc" sheetId="5" r:id="rId5"/>
    <sheet name="Profit by Country" sheetId="6" r:id="rId6"/>
    <sheet name="Profit by Year" sheetId="7" r:id="rId7"/>
    <sheet name="Revenue Dashboard on Sales" sheetId="8" r:id="rId8"/>
    <sheet name="Rev by Items" sheetId="9" r:id="rId9"/>
    <sheet name="Revenue by OP" sheetId="10" r:id="rId10"/>
    <sheet name="Revenue by Countries" sheetId="11" r:id="rId11"/>
    <sheet name="Revenue &amp; Total Cost" sheetId="12" r:id="rId12"/>
    <sheet name="Revenue by Year and Regions" sheetId="13" r:id="rId13"/>
    <sheet name="Revenue by Year" sheetId="14" r:id="rId14"/>
  </sheets>
  <calcPr calcId="191029"/>
  <pivotCaches>
    <pivotCache cacheId="0" r:id="rId15"/>
    <pivotCache cacheId="1" r:id="rId16"/>
    <pivotCache cacheId="2" r:id="rId17"/>
    <pivotCache cacheId="3" r:id="rId18"/>
    <pivotCache cacheId="4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<sst xmlns="http://schemas.openxmlformats.org/spreadsheetml/2006/main" count="1080" uniqueCount="98">
  <si>
    <t>Region</t>
  </si>
  <si>
    <t>Country</t>
  </si>
  <si>
    <t>Item Type</t>
  </si>
  <si>
    <t>Rep Name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</si>
  <si>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</si>
  <si>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</si>
  <si>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</si>
  <si>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</si>
  <si>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</si>
  <si>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</si>
  <si>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</si>
  <si>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</si>
  <si>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</si>
  <si>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</si>
  <si>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</si>
  <si>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Australia and Oceania</t>
  </si>
  <si>
    <t>Fiji</t>
  </si>
  <si>
    <t>Household</t>
  </si>
  <si>
    <t>Gavin Gill</t>
  </si>
  <si>
    <t>Offline</t>
  </si>
  <si>
    <t>C</t>
  </si>
  <si>
    <t>Europe</t>
  </si>
  <si>
    <t>Estonia</t>
  </si>
  <si>
    <t>Sean Glover</t>
  </si>
  <si>
    <t>Online</t>
  </si>
  <si>
    <t>M</t>
  </si>
  <si>
    <t>North America</t>
  </si>
  <si>
    <t>Canada</t>
  </si>
  <si>
    <t>Cosmetics</t>
  </si>
  <si>
    <t>Karen Clark</t>
  </si>
  <si>
    <t>Asia</t>
  </si>
  <si>
    <t>India</t>
  </si>
  <si>
    <t>Beverages</t>
  </si>
  <si>
    <t>Robert Davies</t>
  </si>
  <si>
    <t>Office Supplies</t>
  </si>
  <si>
    <t>Diana Black</t>
  </si>
  <si>
    <t>L</t>
  </si>
  <si>
    <t>Montenegro</t>
  </si>
  <si>
    <t>Cereal</t>
  </si>
  <si>
    <t>Katherine Scott</t>
  </si>
  <si>
    <t>H</t>
  </si>
  <si>
    <t>Central America and the Caribbean</t>
  </si>
  <si>
    <t>Jamaica</t>
  </si>
  <si>
    <t>Victor Reid</t>
  </si>
  <si>
    <t>Vegetables</t>
  </si>
  <si>
    <t>Sub-Saharan Africa</t>
  </si>
  <si>
    <t>Sudan</t>
  </si>
  <si>
    <t>Australia</t>
  </si>
  <si>
    <t>Baby Food</t>
  </si>
  <si>
    <t>Nicholas McLean</t>
  </si>
  <si>
    <t>USA</t>
  </si>
  <si>
    <t>Justin Scott</t>
  </si>
  <si>
    <t>Jack MacLeod</t>
  </si>
  <si>
    <t>Japan</t>
  </si>
  <si>
    <t>Lauren Marshall</t>
  </si>
  <si>
    <t>Trevor Hemmings</t>
  </si>
  <si>
    <t>Senegal</t>
  </si>
  <si>
    <t>Fruits</t>
  </si>
  <si>
    <t>Eritrea</t>
  </si>
  <si>
    <t>Molly Jackson</t>
  </si>
  <si>
    <t>Cape Verde</t>
  </si>
  <si>
    <t>Armenia</t>
  </si>
  <si>
    <t>Middle East and North Africa</t>
  </si>
  <si>
    <t>Libya</t>
  </si>
  <si>
    <t>Jan Johnston</t>
  </si>
  <si>
    <t>Snacks</t>
  </si>
  <si>
    <t>Piers MacLeod</t>
  </si>
  <si>
    <t>Saudi Arabia</t>
  </si>
  <si>
    <t>Clothes</t>
  </si>
  <si>
    <t>Federated States of Micronesia</t>
  </si>
  <si>
    <t>Greece</t>
  </si>
  <si>
    <t>Panama</t>
  </si>
  <si>
    <t>Maldives</t>
  </si>
  <si>
    <t>UK</t>
  </si>
  <si>
    <t>Egypt</t>
  </si>
  <si>
    <t>Evan Vaughan</t>
  </si>
  <si>
    <t>Rose Paige</t>
  </si>
  <si>
    <t>Liam Wilkins</t>
  </si>
  <si>
    <t>Irene Hill</t>
  </si>
  <si>
    <t>Jan Dyer</t>
  </si>
  <si>
    <t>Chad</t>
  </si>
  <si>
    <t>Amy Hemmings</t>
  </si>
  <si>
    <t>Greenland</t>
  </si>
  <si>
    <t>Bulgaria</t>
  </si>
  <si>
    <t>Sam King</t>
  </si>
  <si>
    <t>SUM of Total Revenue</t>
  </si>
  <si>
    <t>SUM of Total Profit</t>
  </si>
  <si>
    <t>Grand Total</t>
  </si>
  <si>
    <t>2010</t>
  </si>
  <si>
    <t>2011</t>
  </si>
  <si>
    <t>2012</t>
  </si>
  <si>
    <t>2013</t>
  </si>
  <si>
    <t>2014</t>
  </si>
  <si>
    <t>2015</t>
  </si>
  <si>
    <t>2016</t>
  </si>
  <si>
    <t>2017</t>
  </si>
  <si>
    <t xml:space="preserve"> </t>
  </si>
  <si>
    <t>SUM of Total Cost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</si>
</sst>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-mm\-yyyy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/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20" applyNumberFormat="0" applyAlignment="0" applyProtection="0">
      <alignment vertical="center"/>
    </xf>
    <xf numFmtId="0" fontId="12" fillId="5" borderId="21" applyNumberFormat="0" applyAlignment="0" applyProtection="0">
      <alignment vertical="center"/>
    </xf>
    <xf numFmtId="0" fontId="13" fillId="5" borderId="20" applyNumberFormat="0" applyAlignment="0" applyProtection="0">
      <alignment vertical="center"/>
    </xf>
    <xf numFmtId="0" fontId="14" fillId="6" borderId="22" applyNumberFormat="0" applyAlignment="0" applyProtection="0">
      <alignment vertical="center"/>
    </xf>
    <xf numFmtId="0" fontId="15" fillId="0" borderId="23" applyNumberFormat="0" applyFill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2">
    <xf numFmtId="0" fontId="0" fillId="0" borderId="0" xfId="0" applyFont="1" applyAlignment="1"/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3" xfId="0" applyFont="1" applyBorder="1" applyAlignment="1"/>
    <xf numFmtId="0" fontId="0" fillId="0" borderId="10" xfId="0" applyFont="1" applyBorder="1" applyAlignment="1"/>
    <xf numFmtId="0" fontId="0" fillId="0" borderId="11" xfId="0" applyFont="1" applyBorder="1" applyAlignment="1"/>
    <xf numFmtId="0" fontId="0" fillId="0" borderId="12" xfId="0" applyFont="1" applyBorder="1" applyAlignment="1"/>
    <xf numFmtId="0" fontId="0" fillId="0" borderId="13" xfId="0" applyFont="1" applyBorder="1" applyAlignment="1"/>
    <xf numFmtId="0" fontId="0" fillId="0" borderId="14" xfId="0" applyFont="1" applyBorder="1" applyAlignment="1"/>
    <xf numFmtId="0" fontId="0" fillId="0" borderId="15" xfId="0" applyFont="1" applyBorder="1" applyAlignment="1"/>
    <xf numFmtId="0" fontId="1" fillId="2" borderId="16" xfId="0" applyFont="1" applyFill="1" applyBorder="1" applyAlignment="1">
      <alignment horizontal="center" vertical="top"/>
    </xf>
    <xf numFmtId="0" fontId="2" fillId="0" borderId="16" xfId="0" applyFont="1" applyBorder="1"/>
    <xf numFmtId="178" fontId="2" fillId="0" borderId="16" xfId="0" applyNumberFormat="1" applyFont="1" applyBorder="1"/>
    <xf numFmtId="2" fontId="2" fillId="0" borderId="16" xfId="0" applyNumberFormat="1" applyFont="1" applyBorder="1"/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D9EAD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pivotCacheDefinition" Target="pivotCache/pivotCacheDefinition5.xml"/><Relationship Id="rId18" Type="http://schemas.openxmlformats.org/officeDocument/2006/relationships/pivotCacheDefinition" Target="pivotCache/pivotCacheDefinition4.xml"/><Relationship Id="rId17" Type="http://schemas.openxmlformats.org/officeDocument/2006/relationships/pivotCacheDefinition" Target="pivotCache/pivotCacheDefinition3.xml"/><Relationship Id="rId16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1F4E78"/>
                </a:solidFill>
                <a:latin typeface="+mn-lt"/>
              </a:rPr>
              <a:t>Revenue by Item</a:t>
            </a:r>
            <a:endParaRPr b="1">
              <a:solidFill>
                <a:srgbClr val="1F4E78"/>
              </a:solidFill>
              <a:latin typeface="+mn-lt"/>
            </a:endParaRPr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0.157494519779772"/>
          <c:y val="0.117250673854447"/>
          <c:w val="0.797644142536705"/>
          <c:h val="0.711590296495957"/>
        </c:manualLayout>
      </c:layout>
      <c:barChart>
        <c:barDir val="bar"/>
        <c:grouping val="none"/>
        <c:varyColors val="0"/>
        <c:ser>
          <c:idx val="0"/>
          <c:order val="0"/>
          <c:tx>
            <c:strRef>
              <c:f>'Rev by Items'!$B$1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solidFill>
              <a:schemeClr val="accent1"/>
            </a:solidFill>
            <a:ln w="9525" cmpd="sng">
              <a:noFill/>
            </a:ln>
          </c:spPr>
          <c:invertIfNegative val="0"/>
          <c:dLbls>
            <c:numFmt formatCode="[&gt;9999999]0,,&quot;M&quot;;&quot;0M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'Rev by Items'!$A$2:$A$11</c:f>
              <c:strCache>
                <c:ptCount val="10"/>
                <c:pt idx="0">
                  <c:v>Baby Food</c:v>
                </c:pt>
                <c:pt idx="1">
                  <c:v>Beverages</c:v>
                </c:pt>
                <c:pt idx="2">
                  <c:v>Cereal</c:v>
                </c:pt>
                <c:pt idx="3">
                  <c:v>Clothes</c:v>
                </c:pt>
                <c:pt idx="4">
                  <c:v>Cosmetics</c:v>
                </c:pt>
                <c:pt idx="5">
                  <c:v>Fruits</c:v>
                </c:pt>
                <c:pt idx="6">
                  <c:v>Household</c:v>
                </c:pt>
                <c:pt idx="7">
                  <c:v>Office Supplies</c:v>
                </c:pt>
                <c:pt idx="8">
                  <c:v>Snacks</c:v>
                </c:pt>
                <c:pt idx="9">
                  <c:v>Vegetables</c:v>
                </c:pt>
              </c:strCache>
            </c:strRef>
          </c:cat>
          <c:val>
            <c:numRef>
              <c:f>'Rev by Items'!$B$2:$B$11</c:f>
              <c:numCache>
                <c:formatCode>General</c:formatCode>
                <c:ptCount val="10"/>
                <c:pt idx="0">
                  <c:v>19500839.2</c:v>
                </c:pt>
                <c:pt idx="1">
                  <c:v>4627371.45</c:v>
                </c:pt>
                <c:pt idx="2">
                  <c:v>13177142</c:v>
                </c:pt>
                <c:pt idx="3">
                  <c:v>8368116</c:v>
                </c:pt>
                <c:pt idx="4">
                  <c:v>39036276.4</c:v>
                </c:pt>
                <c:pt idx="5">
                  <c:v>590589</c:v>
                </c:pt>
                <c:pt idx="6">
                  <c:v>78446210.49</c:v>
                </c:pt>
                <c:pt idx="7">
                  <c:v>43287231.12</c:v>
                </c:pt>
                <c:pt idx="8">
                  <c:v>14059636.68</c:v>
                </c:pt>
                <c:pt idx="9">
                  <c:v>10154556.78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1932147"/>
        <c:axId val="1377502379"/>
      </c:barChart>
      <c:catAx>
        <c:axId val="191932147"/>
        <c:scaling>
          <c:orientation val="maxMin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Item</a:t>
                </a:r>
                <a:endParaRPr b="1">
                  <a:solidFill>
                    <a:srgbClr val="1F4E78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377502379"/>
        <c:crosses val="autoZero"/>
        <c:auto val="1"/>
        <c:lblAlgn val="ctr"/>
        <c:lblOffset val="100"/>
        <c:noMultiLvlLbl val="0"/>
      </c:catAx>
      <c:valAx>
        <c:axId val="137750237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Revenue</a:t>
                </a:r>
                <a:endParaRPr b="1">
                  <a:solidFill>
                    <a:srgbClr val="1F4E78"/>
                  </a:solidFill>
                  <a:latin typeface="+mn-lt"/>
                </a:endParaRPr>
              </a:p>
            </c:rich>
          </c:tx>
          <c:layout/>
          <c:overlay val="0"/>
        </c:title>
        <c:numFmt formatCode="[&gt;999999]0,,&quot;M&quot;;&quot;0M&quot;" sourceLinked="0"/>
        <c:majorTickMark val="none"/>
        <c:minorTickMark val="none"/>
        <c:tickLblPos val="nextTo"/>
        <c:spPr>
          <a:ln w="6350" cap="flat" cmpd="sng" algn="ctr">
            <a:solidFill>
              <a:srgbClr val="FFFF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91932147"/>
        <c:crosses val="max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f36e7cc-dcdf-47f8-86a1-519c5ee8225b}"/>
      </c:ext>
    </c:extLst>
  </c:chart>
  <c:spPr>
    <a:solidFill>
      <a:srgbClr val="D9EAD3"/>
    </a:solidFill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1F4E78"/>
                </a:solidFill>
                <a:latin typeface="+mn-lt"/>
              </a:rPr>
              <a:t>Revenue by Order Priority</a:t>
            </a:r>
            <a:endParaRPr b="1">
              <a:solidFill>
                <a:srgbClr val="1F4E78"/>
              </a:solidFill>
              <a:latin typeface="+mn-lt"/>
            </a:endParaRPr>
          </a:p>
        </c:rich>
      </c:tx>
      <c:layout/>
      <c:overlay val="0"/>
    </c:title>
    <c:autoTitleDeleted val="0"/>
    <c:view3D>
      <c:rotX val="50"/>
      <c:rotY val="0"/>
      <c:depthPercent val="10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0.035180055401662"/>
          <c:y val="0.163385826771654"/>
          <c:w val="0.929639889196676"/>
          <c:h val="0.786614173228346"/>
        </c:manualLayout>
      </c:layout>
      <c:pie3DChart>
        <c:varyColors val="1"/>
        <c:ser>
          <c:idx val="0"/>
          <c:order val="0"/>
          <c:tx>
            <c:strRef>
              <c:f>'Revenue by OP'!$B$1</c:f>
              <c:strCache>
                <c:ptCount val="1"/>
                <c:pt idx="0">
                  <c:v>SUM of Total Revenue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rgbClr val="93C47D"/>
              </a:solidFill>
            </c:spPr>
          </c:dPt>
          <c:dPt>
            <c:idx val="1"/>
            <c:bubble3D val="0"/>
            <c:spPr>
              <a:solidFill>
                <a:srgbClr val="38761D"/>
              </a:solidFill>
            </c:spPr>
          </c:dPt>
          <c:dPt>
            <c:idx val="2"/>
            <c:bubble3D val="0"/>
            <c:spPr>
              <a:solidFill>
                <a:srgbClr val="134F5C"/>
              </a:solidFill>
            </c:spPr>
          </c:dPt>
          <c:dPt>
            <c:idx val="3"/>
            <c:bubble3D val="0"/>
            <c:spPr>
              <a:solidFill>
                <a:srgbClr val="76A5AF"/>
              </a:solidFill>
            </c:spPr>
          </c:dPt>
          <c:dPt>
            <c:idx val="4"/>
            <c:bubble3D val="0"/>
            <c:spPr>
              <a:solidFill>
                <a:srgbClr val="D9EAD3"/>
              </a:solidFill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'Revenue by OP'!$A$2:$A$6</c:f>
              <c:strCache>
                <c:ptCount val="5"/>
                <c:pt idx="0">
                  <c:v>C</c:v>
                </c:pt>
                <c:pt idx="1">
                  <c:v>H</c:v>
                </c:pt>
                <c:pt idx="2">
                  <c:v>L</c:v>
                </c:pt>
                <c:pt idx="3">
                  <c:v>M</c:v>
                </c:pt>
                <c:pt idx="4">
                  <c:v>Grand Total</c:v>
                </c:pt>
              </c:strCache>
            </c:strRef>
          </c:cat>
          <c:val>
            <c:numRef>
              <c:f>'Revenue by OP'!$B$2:$B$6</c:f>
              <c:numCache>
                <c:formatCode>General</c:formatCode>
                <c:ptCount val="5"/>
                <c:pt idx="0">
                  <c:v>56597818.24</c:v>
                </c:pt>
                <c:pt idx="1">
                  <c:v>56968622.72</c:v>
                </c:pt>
                <c:pt idx="2">
                  <c:v>63186288.9</c:v>
                </c:pt>
                <c:pt idx="3">
                  <c:v>54495239.26</c:v>
                </c:pt>
                <c:pt idx="4">
                  <c:v>231247969.12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plotVisOnly val="1"/>
    <c:dispBlanksAs val="gap"/>
    <c:showDLblsOverMax val="0"/>
    <c:extLst>
      <c:ext uri="{0b15fc19-7d7d-44ad-8c2d-2c3a37ce22c3}">
        <chartProps xmlns="https://web.wps.cn/et/2018/main" chartId="{e885f80b-be2d-406d-9f23-ee6ac2bc8e9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1F4E78"/>
                </a:solidFill>
                <a:latin typeface="+mn-lt"/>
              </a:rPr>
              <a:t>Revenue by Countries</a:t>
            </a:r>
            <a:endParaRPr b="1">
              <a:solidFill>
                <a:srgbClr val="1F4E78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'Revenue by Countries'!$B$1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delete val="1"/>
          </c:dLbls>
          <c:cat>
            <c:strRef>
              <c:f>'Revenue by Countries'!$A$2:$A$26</c:f>
              <c:strCache>
                <c:ptCount val="25"/>
                <c:pt idx="0">
                  <c:v>Armenia</c:v>
                </c:pt>
                <c:pt idx="1">
                  <c:v>Australia</c:v>
                </c:pt>
                <c:pt idx="2">
                  <c:v>Bulgaria</c:v>
                </c:pt>
                <c:pt idx="3">
                  <c:v>Canada</c:v>
                </c:pt>
                <c:pt idx="4">
                  <c:v>Cape Verde</c:v>
                </c:pt>
                <c:pt idx="5">
                  <c:v>Chad</c:v>
                </c:pt>
                <c:pt idx="6">
                  <c:v>Egypt</c:v>
                </c:pt>
                <c:pt idx="7">
                  <c:v>Eritrea</c:v>
                </c:pt>
                <c:pt idx="8">
                  <c:v>Estonia</c:v>
                </c:pt>
                <c:pt idx="9">
                  <c:v>Federated States of Micronesia</c:v>
                </c:pt>
                <c:pt idx="10">
                  <c:v>Fiji</c:v>
                </c:pt>
                <c:pt idx="11">
                  <c:v>Greece</c:v>
                </c:pt>
                <c:pt idx="12">
                  <c:v>Greenland</c:v>
                </c:pt>
                <c:pt idx="13">
                  <c:v>India</c:v>
                </c:pt>
                <c:pt idx="14">
                  <c:v>Jamaica</c:v>
                </c:pt>
                <c:pt idx="15">
                  <c:v>Japan</c:v>
                </c:pt>
                <c:pt idx="16">
                  <c:v>Libya</c:v>
                </c:pt>
                <c:pt idx="17">
                  <c:v>Maldives</c:v>
                </c:pt>
                <c:pt idx="18">
                  <c:v>Montenegro</c:v>
                </c:pt>
                <c:pt idx="19">
                  <c:v>Panama</c:v>
                </c:pt>
                <c:pt idx="20">
                  <c:v>Saudi Arabia</c:v>
                </c:pt>
                <c:pt idx="21">
                  <c:v>Senegal</c:v>
                </c:pt>
                <c:pt idx="22">
                  <c:v>Sudan</c:v>
                </c:pt>
                <c:pt idx="23">
                  <c:v>UK</c:v>
                </c:pt>
                <c:pt idx="24">
                  <c:v>USA</c:v>
                </c:pt>
              </c:strCache>
            </c:strRef>
          </c:cat>
          <c:val>
            <c:numRef>
              <c:f>'Revenue by Countries'!$B$2:$B$26</c:f>
              <c:numCache>
                <c:formatCode>General</c:formatCode>
                <c:ptCount val="25"/>
                <c:pt idx="0">
                  <c:v>8116328.29</c:v>
                </c:pt>
                <c:pt idx="1">
                  <c:v>10454132.91</c:v>
                </c:pt>
                <c:pt idx="2">
                  <c:v>970412.5</c:v>
                </c:pt>
                <c:pt idx="3">
                  <c:v>5132901.16</c:v>
                </c:pt>
                <c:pt idx="4">
                  <c:v>16909681.06</c:v>
                </c:pt>
                <c:pt idx="5">
                  <c:v>1496250.3</c:v>
                </c:pt>
                <c:pt idx="6">
                  <c:v>12911060.88</c:v>
                </c:pt>
                <c:pt idx="7">
                  <c:v>8494872</c:v>
                </c:pt>
                <c:pt idx="8">
                  <c:v>11882462.09</c:v>
                </c:pt>
                <c:pt idx="9">
                  <c:v>9067818.65</c:v>
                </c:pt>
                <c:pt idx="10">
                  <c:v>19662429.12</c:v>
                </c:pt>
                <c:pt idx="11">
                  <c:v>10235650.63</c:v>
                </c:pt>
                <c:pt idx="12">
                  <c:v>6025244.15</c:v>
                </c:pt>
                <c:pt idx="13">
                  <c:v>11361369.48</c:v>
                </c:pt>
                <c:pt idx="14">
                  <c:v>23045177.28</c:v>
                </c:pt>
                <c:pt idx="15">
                  <c:v>5224038.37</c:v>
                </c:pt>
                <c:pt idx="16">
                  <c:v>16274906.85</c:v>
                </c:pt>
                <c:pt idx="17">
                  <c:v>3079267.8</c:v>
                </c:pt>
                <c:pt idx="18">
                  <c:v>5562864.35</c:v>
                </c:pt>
                <c:pt idx="19">
                  <c:v>17932090.42</c:v>
                </c:pt>
                <c:pt idx="20">
                  <c:v>3024939.19</c:v>
                </c:pt>
                <c:pt idx="21">
                  <c:v>2706417.29</c:v>
                </c:pt>
                <c:pt idx="22">
                  <c:v>7455248.24</c:v>
                </c:pt>
                <c:pt idx="23">
                  <c:v>11510393.37</c:v>
                </c:pt>
                <c:pt idx="24">
                  <c:v>2712012.74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3232917"/>
        <c:axId val="1169464565"/>
      </c:barChart>
      <c:catAx>
        <c:axId val="109323291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Country</a:t>
                </a:r>
                <a:endParaRPr b="1">
                  <a:solidFill>
                    <a:srgbClr val="1F4E78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169464565"/>
        <c:crosses val="autoZero"/>
        <c:auto val="1"/>
        <c:lblAlgn val="ctr"/>
        <c:lblOffset val="100"/>
        <c:noMultiLvlLbl val="0"/>
      </c:catAx>
      <c:valAx>
        <c:axId val="1169464565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Revenue</a:t>
                </a:r>
                <a:endParaRPr b="1">
                  <a:solidFill>
                    <a:srgbClr val="1F4E78"/>
                  </a:solidFill>
                  <a:latin typeface="+mn-lt"/>
                </a:endParaRPr>
              </a:p>
            </c:rich>
          </c:tx>
          <c:layout/>
          <c:overlay val="0"/>
        </c:title>
        <c:numFmt formatCode="[&gt;999999]0,,&quot;M&quot;;&quot;0M&quot;" sourceLinked="0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093232917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82bd77f-57a7-41db-8c40-6697423de724}"/>
      </c:ext>
    </c:extLst>
  </c:chart>
  <c:spPr>
    <a:solidFill>
      <a:srgbClr val="CFE2F3"/>
    </a:solidFill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1F4E78"/>
                </a:solidFill>
                <a:latin typeface="+mn-lt"/>
              </a:rPr>
              <a:t>Revenue &amp; Total Cost by Region</a:t>
            </a:r>
            <a:endParaRPr b="1">
              <a:solidFill>
                <a:srgbClr val="1F4E78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0388667992047714"/>
          <c:y val="0.0339228295819936"/>
        </c:manualLayout>
      </c:layout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'Revenue &amp; Total Cost'!$B$1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delete val="1"/>
          </c:dLbls>
          <c:cat>
            <c:strRef>
              <c:f>'Revenue &amp; Total Cost'!$A$2:$A$8</c:f>
              <c:strCache>
                <c:ptCount val="7"/>
                <c:pt idx="0">
                  <c:v>Region</c:v>
                </c:pt>
                <c:pt idx="1">
                  <c:v>Asia</c:v>
                </c:pt>
                <c:pt idx="2">
                  <c:v>Australia and Oceania</c:v>
                </c:pt>
                <c:pt idx="3">
                  <c:v>Central America and the Caribbean</c:v>
                </c:pt>
                <c:pt idx="4">
                  <c:v>Europe</c:v>
                </c:pt>
                <c:pt idx="5">
                  <c:v>Middle East and North Africa</c:v>
                </c:pt>
                <c:pt idx="6">
                  <c:v>North America</c:v>
                </c:pt>
              </c:strCache>
            </c:strRef>
          </c:cat>
          <c:val>
            <c:numRef>
              <c:f>'Revenue &amp; Total Cost'!$B$2:$B$8</c:f>
              <c:numCache>
                <c:formatCode>General</c:formatCode>
                <c:ptCount val="7"/>
                <c:pt idx="0">
                  <c:v>0</c:v>
                </c:pt>
                <c:pt idx="1">
                  <c:v>19664675.65</c:v>
                </c:pt>
                <c:pt idx="2">
                  <c:v>39184380.68</c:v>
                </c:pt>
                <c:pt idx="3">
                  <c:v>40977267.7</c:v>
                </c:pt>
                <c:pt idx="4">
                  <c:v>48278111.23</c:v>
                </c:pt>
                <c:pt idx="5">
                  <c:v>32210906.92</c:v>
                </c:pt>
                <c:pt idx="6">
                  <c:v>13870158.05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7976074"/>
        <c:axId val="1422876226"/>
      </c:barChart>
      <c:lineChart>
        <c:grouping val="none"/>
        <c:varyColors val="0"/>
        <c:ser>
          <c:idx val="1"/>
          <c:order val="1"/>
          <c:tx>
            <c:strRef>
              <c:f>'Revenue &amp; Total Cost'!$C$1</c:f>
              <c:strCache>
                <c:ptCount val="1"/>
                <c:pt idx="0">
                  <c:v/>
                </c:pt>
              </c:strCache>
            </c:strRef>
          </c:tx>
          <c:spPr>
            <a:ln w="190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/>
              <c:numFmt formatCode="[&gt;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1"/>
              <c:layout/>
              <c:numFmt formatCode="[&gt;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2"/>
              <c:layout/>
              <c:numFmt formatCode="[&gt;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3"/>
              <c:layout/>
              <c:numFmt formatCode="[&gt;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4"/>
              <c:layout/>
              <c:numFmt formatCode="[&gt;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5"/>
              <c:layout/>
              <c:numFmt formatCode="[&gt;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6"/>
              <c:layout/>
              <c:numFmt formatCode="[&gt;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numFmt formatCode="[&gt;999999]0,,&quot;M&quot;;&quot;0M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'Revenue &amp; Total Cost'!$A$2:$A$8</c:f>
              <c:strCache>
                <c:ptCount val="7"/>
                <c:pt idx="0">
                  <c:v>Region</c:v>
                </c:pt>
                <c:pt idx="1">
                  <c:v>Asia</c:v>
                </c:pt>
                <c:pt idx="2">
                  <c:v>Australia and Oceania</c:v>
                </c:pt>
                <c:pt idx="3">
                  <c:v>Central America and the Caribbean</c:v>
                </c:pt>
                <c:pt idx="4">
                  <c:v>Europe</c:v>
                </c:pt>
                <c:pt idx="5">
                  <c:v>Middle East and North Africa</c:v>
                </c:pt>
                <c:pt idx="6">
                  <c:v>North America</c:v>
                </c:pt>
              </c:strCache>
            </c:strRef>
          </c:cat>
          <c:val>
            <c:numRef>
              <c:f>'Revenue &amp; Total Cost'!$C$2:$C$8</c:f>
              <c:numCache>
                <c:formatCode>General</c:formatCode>
                <c:ptCount val="7"/>
                <c:pt idx="0">
                  <c:v>0</c:v>
                </c:pt>
                <c:pt idx="1">
                  <c:v>13051454.38</c:v>
                </c:pt>
                <c:pt idx="2">
                  <c:v>28104456.01</c:v>
                </c:pt>
                <c:pt idx="3">
                  <c:v>29037440.08</c:v>
                </c:pt>
                <c:pt idx="4">
                  <c:v>32824095.43</c:v>
                </c:pt>
                <c:pt idx="5">
                  <c:v>20155761.94</c:v>
                </c:pt>
                <c:pt idx="6">
                  <c:v>8450209.94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047976074"/>
        <c:axId val="1422876226"/>
      </c:lineChart>
      <c:catAx>
        <c:axId val="104797607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Calibri" panose="020F0502020204030204"/>
                  </a:rPr>
                  <a:t>Region</a:t>
                </a:r>
                <a:endParaRPr b="1">
                  <a:solidFill>
                    <a:srgbClr val="1F4E78"/>
                  </a:solidFill>
                  <a:latin typeface="Calibri" panose="020F0502020204030204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422876226"/>
        <c:crosses val="autoZero"/>
        <c:auto val="1"/>
        <c:lblAlgn val="ctr"/>
        <c:lblOffset val="100"/>
        <c:noMultiLvlLbl val="0"/>
      </c:catAx>
      <c:valAx>
        <c:axId val="142287622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Calibri" panose="020F0502020204030204"/>
                  </a:rPr>
                  <a:t>Revenue</a:t>
                </a:r>
                <a:endParaRPr b="1">
                  <a:solidFill>
                    <a:srgbClr val="1F4E78"/>
                  </a:solidFill>
                  <a:latin typeface="Calibri" panose="020F0502020204030204"/>
                </a:endParaRPr>
              </a:p>
            </c:rich>
          </c:tx>
          <c:layout/>
          <c:overlay val="0"/>
        </c:title>
        <c:numFmt formatCode="[&gt;999999]0,,&quot;M&quot;;&quot;0M&quot;" sourceLinked="0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047976074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b92403c-063c-426a-becf-00fbcaccbdf6}"/>
      </c:ext>
    </c:extLst>
  </c:chart>
  <c:spPr>
    <a:solidFill>
      <a:srgbClr val="D9EAD3"/>
    </a:solidFill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1F4E78"/>
                </a:solidFill>
                <a:latin typeface="+mn-lt"/>
              </a:rPr>
              <a:t>Revenue by Year and Regions</a:t>
            </a:r>
            <a:endParaRPr b="1">
              <a:solidFill>
                <a:srgbClr val="1F4E78"/>
              </a:solidFill>
              <a:latin typeface="+mn-lt"/>
            </a:endParaRPr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0.151639344262295"/>
          <c:y val="0.211363636363636"/>
          <c:w val="0.83879781420765"/>
          <c:h val="0.55"/>
        </c:manualLayout>
      </c:layout>
      <c:lineChart>
        <c:grouping val="none"/>
        <c:varyColors val="0"/>
        <c:ser>
          <c:idx val="0"/>
          <c:order val="0"/>
          <c:tx>
            <c:strRef>
              <c:f>'Revenue by Year and Regions'!$B$1:$B$2</c:f>
              <c:strCache>
                <c:ptCount val="1"/>
                <c:pt idx="0">
                  <c:v>Region Asia</c:v>
                </c:pt>
              </c:strCache>
            </c:strRef>
          </c:tx>
          <c:spPr>
            <a:ln w="19050" cap="rnd" cmpd="sng" algn="ctr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'Revenue by Year and Regions'!$A$3:$A$10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and Regions'!$B$3:$B$10</c:f>
              <c:numCache>
                <c:formatCode>General</c:formatCode>
                <c:ptCount val="8"/>
                <c:pt idx="0">
                  <c:v>1008858.96</c:v>
                </c:pt>
                <c:pt idx="1">
                  <c:v>1741540.67</c:v>
                </c:pt>
                <c:pt idx="2">
                  <c:v>7857551.39</c:v>
                </c:pt>
                <c:pt idx="3">
                  <c:v>219106.4</c:v>
                </c:pt>
                <c:pt idx="4">
                  <c:v>1562801.62</c:v>
                </c:pt>
                <c:pt idx="5">
                  <c:v>4265972.18</c:v>
                </c:pt>
                <c:pt idx="6">
                  <c:v>137177.95</c:v>
                </c:pt>
                <c:pt idx="7">
                  <c:v>2871666.48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'Revenue by Year and Regions'!$C$1:$C$2</c:f>
              <c:strCache>
                <c:ptCount val="1"/>
                <c:pt idx="0">
                  <c:v>Region Australia and Oceania</c:v>
                </c:pt>
              </c:strCache>
            </c:strRef>
          </c:tx>
          <c:spPr>
            <a:ln w="19050" cap="rnd" cmpd="sng" algn="ctr">
              <a:solidFill>
                <a:srgbClr val="C0504D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'Revenue by Year and Regions'!$A$3:$A$10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and Regions'!$C$3:$C$10</c:f>
              <c:numCache>
                <c:formatCode>General</c:formatCode>
                <c:ptCount val="8"/>
                <c:pt idx="0">
                  <c:v>7677418.11</c:v>
                </c:pt>
                <c:pt idx="1">
                  <c:v>10943964.55</c:v>
                </c:pt>
                <c:pt idx="2">
                  <c:v>963571.85</c:v>
                </c:pt>
                <c:pt idx="3">
                  <c:v>720155.2</c:v>
                </c:pt>
                <c:pt idx="4">
                  <c:v>1999714.02</c:v>
                </c:pt>
                <c:pt idx="5">
                  <c:v>4593777.82</c:v>
                </c:pt>
                <c:pt idx="6">
                  <c:v>3059244.57</c:v>
                </c:pt>
                <c:pt idx="7">
                  <c:v>9226534.56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'Revenue by Year and Regions'!$D$1:$D$2</c:f>
              <c:strCache>
                <c:ptCount val="1"/>
                <c:pt idx="0">
                  <c:v>Region Central America and the Caribbean</c:v>
                </c:pt>
              </c:strCache>
            </c:strRef>
          </c:tx>
          <c:spPr>
            <a:ln w="19050" cap="rnd" cmpd="sng" algn="ctr">
              <a:solidFill>
                <a:srgbClr val="9BBB59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'Revenue by Year and Regions'!$A$3:$A$10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and Regions'!$D$3:$D$10</c:f>
              <c:numCache>
                <c:formatCode>General</c:formatCode>
                <c:ptCount val="8"/>
                <c:pt idx="0">
                  <c:v>4628648.76</c:v>
                </c:pt>
                <c:pt idx="1">
                  <c:v>9736649.16</c:v>
                </c:pt>
                <c:pt idx="2">
                  <c:v>1192650.94</c:v>
                </c:pt>
                <c:pt idx="3">
                  <c:v>8444932.68</c:v>
                </c:pt>
                <c:pt idx="4">
                  <c:v>1919079.36</c:v>
                </c:pt>
                <c:pt idx="5">
                  <c:v>8880199.51</c:v>
                </c:pt>
                <c:pt idx="6">
                  <c:v>141531.17</c:v>
                </c:pt>
                <c:pt idx="7">
                  <c:v>6033576.12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'Revenue by Year and Regions'!$E$1:$E$2</c:f>
              <c:strCache>
                <c:ptCount val="1"/>
                <c:pt idx="0">
                  <c:v>Region Europe</c:v>
                </c:pt>
              </c:strCache>
            </c:strRef>
          </c:tx>
          <c:spPr>
            <a:ln w="19050" cap="rnd" cmpd="sng" algn="ctr">
              <a:solidFill>
                <a:srgbClr val="8064A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'Revenue by Year and Regions'!$A$3:$A$10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and Regions'!$E$3:$E$10</c:f>
              <c:numCache>
                <c:formatCode>General</c:formatCode>
                <c:ptCount val="8"/>
                <c:pt idx="0">
                  <c:v>10692367.2</c:v>
                </c:pt>
                <c:pt idx="1">
                  <c:v>2204362.4</c:v>
                </c:pt>
                <c:pt idx="2">
                  <c:v>5507135.68</c:v>
                </c:pt>
                <c:pt idx="3">
                  <c:v>728164.82</c:v>
                </c:pt>
                <c:pt idx="4">
                  <c:v>747489.42</c:v>
                </c:pt>
                <c:pt idx="5">
                  <c:v>7670080.26</c:v>
                </c:pt>
                <c:pt idx="6">
                  <c:v>5885826.26</c:v>
                </c:pt>
                <c:pt idx="7">
                  <c:v>14842685.19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'Revenue by Year and Regions'!$F$1:$F$2</c:f>
              <c:strCache>
                <c:ptCount val="1"/>
                <c:pt idx="0">
                  <c:v>Region Middle East and North Africa</c:v>
                </c:pt>
              </c:strCache>
            </c:strRef>
          </c:tx>
          <c:spPr>
            <a:ln w="19050" cap="rnd" cmpd="sng" algn="ctr">
              <a:solidFill>
                <a:srgbClr val="4BACC6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'Revenue by Year and Regions'!$A$3:$A$10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and Regions'!$F$3:$F$10</c:f>
              <c:numCache>
                <c:formatCode>General</c:formatCode>
                <c:ptCount val="8"/>
                <c:pt idx="0">
                  <c:v>730755.36</c:v>
                </c:pt>
                <c:pt idx="1">
                  <c:v>3228207.41</c:v>
                </c:pt>
                <c:pt idx="2">
                  <c:v>1438462.14</c:v>
                </c:pt>
                <c:pt idx="3">
                  <c:v>1644132.92</c:v>
                </c:pt>
                <c:pt idx="4">
                  <c:v>9641432.78</c:v>
                </c:pt>
                <c:pt idx="5">
                  <c:v>3895038.86</c:v>
                </c:pt>
                <c:pt idx="6">
                  <c:v>1215132.8</c:v>
                </c:pt>
                <c:pt idx="7">
                  <c:v>10417744.65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'Revenue by Year and Regions'!$G$1:$G$2</c:f>
              <c:strCache>
                <c:ptCount val="1"/>
                <c:pt idx="0">
                  <c:v>Region North America</c:v>
                </c:pt>
              </c:strCache>
            </c:strRef>
          </c:tx>
          <c:spPr>
            <a:ln w="19050" cap="rnd" cmpd="sng" algn="ctr">
              <a:solidFill>
                <a:srgbClr val="F79646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'Revenue by Year and Regions'!$A$3:$A$10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and Regions'!$G$3:$G$10</c:f>
              <c:numCache>
                <c:formatCode>General</c:formatCode>
                <c:ptCount val="8"/>
                <c:pt idx="0">
                  <c:v>2706300.8</c:v>
                </c:pt>
                <c:pt idx="1">
                  <c:v>185488.24</c:v>
                </c:pt>
                <c:pt idx="2">
                  <c:v>2230872.18</c:v>
                </c:pt>
                <c:pt idx="3">
                  <c:v>1422655.92</c:v>
                </c:pt>
                <c:pt idx="5">
                  <c:v>1025157.19</c:v>
                </c:pt>
                <c:pt idx="6">
                  <c:v>5184470.68</c:v>
                </c:pt>
                <c:pt idx="7">
                  <c:v>1115213.04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'Revenue by Year and Regions'!$H$1:$H$2</c:f>
              <c:strCache>
                <c:ptCount val="1"/>
                <c:pt idx="0">
                  <c:v>Region Sub-Saharan Africa</c:v>
                </c:pt>
              </c:strCache>
            </c:strRef>
          </c:tx>
          <c:spPr>
            <a:ln w="19050" cap="rnd" cmpd="sng" algn="ctr">
              <a:solidFill>
                <a:srgbClr val="84A7D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'Revenue by Year and Regions'!$A$3:$A$10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and Regions'!$H$3:$H$10</c:f>
              <c:numCache>
                <c:formatCode>General</c:formatCode>
                <c:ptCount val="8"/>
                <c:pt idx="0">
                  <c:v>1912792.16</c:v>
                </c:pt>
                <c:pt idx="1">
                  <c:v>14214085.65</c:v>
                </c:pt>
                <c:pt idx="2">
                  <c:v>951936.74</c:v>
                </c:pt>
                <c:pt idx="3">
                  <c:v>7055998.33</c:v>
                </c:pt>
                <c:pt idx="4">
                  <c:v>7423063.18</c:v>
                </c:pt>
                <c:pt idx="5">
                  <c:v>81935.46</c:v>
                </c:pt>
                <c:pt idx="6">
                  <c:v>1970237.58</c:v>
                </c:pt>
                <c:pt idx="7">
                  <c:v>3452419.79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14242629"/>
        <c:axId val="107703620"/>
      </c:lineChart>
      <c:catAx>
        <c:axId val="191424262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07703620"/>
        <c:crosses val="autoZero"/>
        <c:auto val="1"/>
        <c:lblAlgn val="ctr"/>
        <c:lblOffset val="100"/>
        <c:noMultiLvlLbl val="0"/>
      </c:catAx>
      <c:valAx>
        <c:axId val="10770362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Revenue</a:t>
                </a:r>
                <a:endParaRPr b="1">
                  <a:solidFill>
                    <a:srgbClr val="1F4E78"/>
                  </a:solidFill>
                  <a:latin typeface="+mn-lt"/>
                </a:endParaRPr>
              </a:p>
            </c:rich>
          </c:tx>
          <c:layout/>
          <c:overlay val="0"/>
        </c:title>
        <c:numFmt formatCode="[&gt;999999]0,,&quot;M&quot;;&quot;0M&quot;" sourceLinked="0"/>
        <c:majorTickMark val="none"/>
        <c:minorTickMark val="none"/>
        <c:tickLblPos val="nextTo"/>
        <c:spPr>
          <a:ln w="6350" cap="flat" cmpd="sng" algn="ctr">
            <a:solidFill>
              <a:srgbClr val="FFFF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914242629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3624270-0f55-42e0-bb13-7c857374d807}"/>
      </c:ext>
    </c:extLst>
  </c:chart>
  <c:spPr>
    <a:solidFill>
      <a:srgbClr val="CFE2F3"/>
    </a:solidFill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1F4E78"/>
                </a:solidFill>
                <a:latin typeface="+mn-lt"/>
              </a:rPr>
              <a:t>Total Revenue by Year</a:t>
            </a:r>
            <a:endParaRPr b="1">
              <a:solidFill>
                <a:srgbClr val="1F4E78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tx>
            <c:strRef>
              <c:f>'Revenue by Year'!$B$1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ln w="19050" cap="rnd" cmpd="sng" algn="ctr">
              <a:solidFill>
                <a:srgbClr val="38761D">
                  <a:alpha val="100000"/>
                </a:srgbClr>
              </a:solidFill>
              <a:prstDash val="solid"/>
              <a:round/>
            </a:ln>
          </c:spPr>
          <c:marker>
            <c:symbol val="circle"/>
            <c:size val="2"/>
            <c:spPr>
              <a:solidFill>
                <a:srgbClr val="38761D">
                  <a:alpha val="100000"/>
                </a:srgbClr>
              </a:solidFill>
              <a:ln w="6350" cap="flat" cmpd="sng" algn="ctr">
                <a:solidFill>
                  <a:srgbClr val="38761D">
                    <a:alpha val="100000"/>
                  </a:srgbClr>
                </a:solidFill>
                <a:prstDash val="solid"/>
                <a:round/>
              </a:ln>
            </c:spPr>
          </c:marker>
          <c:dPt>
            <c:idx val="5"/>
            <c:marker>
              <c:symbol val="none"/>
            </c:marker>
            <c:bubble3D val="0"/>
          </c:dPt>
          <c:dPt>
            <c:idx val="6"/>
            <c:marker>
              <c:symbol val="none"/>
            </c:marker>
            <c:bubble3D val="0"/>
          </c:dPt>
          <c:dLbls>
            <c:numFmt formatCode="[&gt;999999]0,,&quot;M&quot;;&quot;0M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'Revenue by Year'!$A$2:$A$9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Year'!$B$2:$B$9</c:f>
              <c:numCache>
                <c:formatCode>General</c:formatCode>
                <c:ptCount val="8"/>
                <c:pt idx="0">
                  <c:v>29357141.35</c:v>
                </c:pt>
                <c:pt idx="1">
                  <c:v>42254298.08</c:v>
                </c:pt>
                <c:pt idx="2">
                  <c:v>20142180.92</c:v>
                </c:pt>
                <c:pt idx="3">
                  <c:v>20235146.27</c:v>
                </c:pt>
                <c:pt idx="4">
                  <c:v>23293580.38</c:v>
                </c:pt>
                <c:pt idx="5">
                  <c:v>30412161.28</c:v>
                </c:pt>
                <c:pt idx="6">
                  <c:v>17593621.01</c:v>
                </c:pt>
                <c:pt idx="7">
                  <c:v>47959839.83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01604630"/>
        <c:axId val="1513339957"/>
      </c:lineChart>
      <c:catAx>
        <c:axId val="30160463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513339957"/>
        <c:crosses val="autoZero"/>
        <c:auto val="1"/>
        <c:lblAlgn val="ctr"/>
        <c:lblOffset val="100"/>
        <c:noMultiLvlLbl val="0"/>
      </c:catAx>
      <c:valAx>
        <c:axId val="1513339957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Revenue</a:t>
                </a:r>
                <a:endParaRPr b="1">
                  <a:solidFill>
                    <a:srgbClr val="1F4E78"/>
                  </a:solidFill>
                  <a:latin typeface="+mn-lt"/>
                </a:endParaRPr>
              </a:p>
            </c:rich>
          </c:tx>
          <c:layout/>
          <c:overlay val="0"/>
        </c:title>
        <c:numFmt formatCode="[&gt;999999]0,,&quot;M&quot;;&quot;0M&quot;" sourceLinked="0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30160463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9ba4940-65bd-4a80-a977-e7120f41ff86}"/>
      </c:ext>
    </c:extLst>
  </c:chart>
  <c:spPr>
    <a:solidFill>
      <a:srgbClr val="CFE2F3"/>
    </a:solidFill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1F4E78"/>
                </a:solidFill>
                <a:latin typeface="+mn-lt"/>
              </a:rPr>
              <a:t>Revenue &amp; Profit by Items</a:t>
            </a:r>
            <a:endParaRPr b="1">
              <a:solidFill>
                <a:srgbClr val="1F4E78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'Revenue &amp; Profit by Items'!$B$1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38761D"/>
            </a:solidFill>
            <a:ln cmpd="sng">
              <a:noFill/>
            </a:ln>
          </c:spPr>
          <c:invertIfNegative val="0"/>
          <c:dLbls>
            <c:delete val="1"/>
          </c:dLbls>
          <c:cat>
            <c:strRef>
              <c:f>'Revenue &amp; Profit by Items'!$A$2:$A$11</c:f>
              <c:strCache>
                <c:ptCount val="10"/>
                <c:pt idx="0">
                  <c:v>Item Type</c:v>
                </c:pt>
                <c:pt idx="1">
                  <c:v>Baby Food</c:v>
                </c:pt>
                <c:pt idx="2">
                  <c:v>Beverages</c:v>
                </c:pt>
                <c:pt idx="3">
                  <c:v>Cereal</c:v>
                </c:pt>
                <c:pt idx="4">
                  <c:v>Clothes</c:v>
                </c:pt>
                <c:pt idx="5">
                  <c:v>Cosmetics</c:v>
                </c:pt>
                <c:pt idx="6">
                  <c:v>Fruits</c:v>
                </c:pt>
                <c:pt idx="7">
                  <c:v>Household</c:v>
                </c:pt>
                <c:pt idx="8">
                  <c:v>Office Supplies</c:v>
                </c:pt>
                <c:pt idx="9">
                  <c:v>Snacks</c:v>
                </c:pt>
              </c:strCache>
            </c:strRef>
          </c:cat>
          <c:val>
            <c:numRef>
              <c:f>'Revenue &amp; Profit by Items'!$B$2:$B$11</c:f>
              <c:numCache>
                <c:formatCode>General</c:formatCode>
                <c:ptCount val="10"/>
                <c:pt idx="0">
                  <c:v>0</c:v>
                </c:pt>
                <c:pt idx="1">
                  <c:v>19500839.2</c:v>
                </c:pt>
                <c:pt idx="2">
                  <c:v>4627371.45</c:v>
                </c:pt>
                <c:pt idx="3">
                  <c:v>13177142</c:v>
                </c:pt>
                <c:pt idx="4">
                  <c:v>8368116</c:v>
                </c:pt>
                <c:pt idx="5">
                  <c:v>39036276.4</c:v>
                </c:pt>
                <c:pt idx="6">
                  <c:v>590589</c:v>
                </c:pt>
                <c:pt idx="7">
                  <c:v>78446210.49</c:v>
                </c:pt>
                <c:pt idx="8">
                  <c:v>43287231.12</c:v>
                </c:pt>
                <c:pt idx="9">
                  <c:v>14059636.68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6015267"/>
        <c:axId val="1279693476"/>
      </c:barChart>
      <c:lineChart>
        <c:grouping val="none"/>
        <c:varyColors val="0"/>
        <c:ser>
          <c:idx val="1"/>
          <c:order val="1"/>
          <c:tx>
            <c:strRef>
              <c:f>'Revenue &amp; Profit by Items'!$C$1</c:f>
              <c:strCache>
                <c:ptCount val="1"/>
                <c:pt idx="0">
                  <c:v/>
                </c:pt>
              </c:strCache>
            </c:strRef>
          </c:tx>
          <c:spPr>
            <a:ln w="19050" cap="rnd" cmpd="sng" algn="ctr">
              <a:solidFill>
                <a:srgbClr val="C0504D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'Revenue &amp; Profit by Items'!$A$2:$A$11</c:f>
              <c:strCache>
                <c:ptCount val="10"/>
                <c:pt idx="0">
                  <c:v>Item Type</c:v>
                </c:pt>
                <c:pt idx="1">
                  <c:v>Baby Food</c:v>
                </c:pt>
                <c:pt idx="2">
                  <c:v>Beverages</c:v>
                </c:pt>
                <c:pt idx="3">
                  <c:v>Cereal</c:v>
                </c:pt>
                <c:pt idx="4">
                  <c:v>Clothes</c:v>
                </c:pt>
                <c:pt idx="5">
                  <c:v>Cosmetics</c:v>
                </c:pt>
                <c:pt idx="6">
                  <c:v>Fruits</c:v>
                </c:pt>
                <c:pt idx="7">
                  <c:v>Household</c:v>
                </c:pt>
                <c:pt idx="8">
                  <c:v>Office Supplies</c:v>
                </c:pt>
                <c:pt idx="9">
                  <c:v>Snacks</c:v>
                </c:pt>
              </c:strCache>
            </c:strRef>
          </c:cat>
          <c:val>
            <c:numRef>
              <c:f>'Revenue &amp; Profit by Items'!$C$2:$C$11</c:f>
              <c:numCache>
                <c:formatCode>General</c:formatCode>
                <c:ptCount val="10"/>
                <c:pt idx="0">
                  <c:v>0</c:v>
                </c:pt>
                <c:pt idx="1">
                  <c:v>7322745.4</c:v>
                </c:pt>
                <c:pt idx="2">
                  <c:v>1527178.86</c:v>
                </c:pt>
                <c:pt idx="3">
                  <c:v>5675075.4</c:v>
                </c:pt>
                <c:pt idx="4">
                  <c:v>5623668</c:v>
                </c:pt>
                <c:pt idx="5">
                  <c:v>15524330.69</c:v>
                </c:pt>
                <c:pt idx="6">
                  <c:v>152553</c:v>
                </c:pt>
                <c:pt idx="7">
                  <c:v>19454547.51</c:v>
                </c:pt>
                <c:pt idx="8">
                  <c:v>8392090</c:v>
                </c:pt>
                <c:pt idx="9">
                  <c:v>5080930.44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596015267"/>
        <c:axId val="1279693476"/>
      </c:lineChart>
      <c:catAx>
        <c:axId val="159601526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Item</a:t>
                </a:r>
                <a:endParaRPr b="1">
                  <a:solidFill>
                    <a:srgbClr val="1F4E78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279693476"/>
        <c:crosses val="autoZero"/>
        <c:auto val="1"/>
        <c:lblAlgn val="ctr"/>
        <c:lblOffset val="100"/>
        <c:noMultiLvlLbl val="0"/>
      </c:catAx>
      <c:valAx>
        <c:axId val="1279693476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Revenue</a:t>
                </a:r>
                <a:endParaRPr b="1">
                  <a:solidFill>
                    <a:srgbClr val="1F4E78"/>
                  </a:solidFill>
                  <a:latin typeface="+mn-lt"/>
                </a:endParaRPr>
              </a:p>
            </c:rich>
          </c:tx>
          <c:layout/>
          <c:overlay val="0"/>
        </c:title>
        <c:numFmt formatCode="[&gt;999999]0,&quot;0M&quot;;&quot;M&quot;" sourceLinked="0"/>
        <c:majorTickMark val="none"/>
        <c:minorTickMark val="none"/>
        <c:tickLblPos val="nextTo"/>
        <c:spPr>
          <a:ln w="6350" cap="flat" cmpd="sng" algn="ctr">
            <a:solidFill>
              <a:srgbClr val="FFFF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59601526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a22564c-519a-48fb-b83c-49990d6bb2e1}"/>
      </c:ext>
    </c:extLst>
  </c:chart>
  <c:spPr>
    <a:solidFill>
      <a:srgbClr val="CFE2F3"/>
    </a:solidFill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1F4E78"/>
                </a:solidFill>
                <a:latin typeface="+mn-lt"/>
              </a:rPr>
              <a:t>Profit by Sales Channel</a:t>
            </a:r>
            <a:endParaRPr b="1">
              <a:solidFill>
                <a:srgbClr val="1F4E78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'Profit by Sales Channel'!$B$1</c:f>
              <c:strCache>
                <c:ptCount val="1"/>
                <c:pt idx="0">
                  <c:v>SUM of Total Profit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rgbClr val="38761D"/>
              </a:solidFill>
            </c:spPr>
          </c:dPt>
          <c:dPt>
            <c:idx val="1"/>
            <c:bubble3D val="0"/>
            <c:spPr>
              <a:solidFill>
                <a:srgbClr val="C0504D"/>
              </a:solidFill>
            </c:spPr>
          </c:dPt>
          <c:dLbls>
            <c:numFmt formatCode="[&gt;9999999]0,,&quot;M&quot;;&quot;0M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'Profit by Sales Channel'!$A$2:$A$3</c:f>
              <c:strCache>
                <c:ptCount val="2"/>
                <c:pt idx="0">
                  <c:v>Offline</c:v>
                </c:pt>
                <c:pt idx="1">
                  <c:v>Online</c:v>
                </c:pt>
              </c:strCache>
            </c:strRef>
          </c:cat>
          <c:val>
            <c:numRef>
              <c:f>'Profit by Sales Channel'!$B$2:$B$3</c:f>
              <c:numCache>
                <c:formatCode>General</c:formatCode>
                <c:ptCount val="2"/>
                <c:pt idx="0">
                  <c:v>30581097.34</c:v>
                </c:pt>
                <c:pt idx="1">
                  <c:v>42333109.65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  <c:extLst>
      <c:ext uri="{0b15fc19-7d7d-44ad-8c2d-2c3a37ce22c3}">
        <chartProps xmlns="https://web.wps.cn/et/2018/main" chartId="{ec549c96-a68c-4275-ab13-57b99a6c815f}"/>
      </c:ext>
    </c:extLst>
  </c:chart>
  <c:txPr>
    <a:bodyPr/>
    <a:lstStyle/>
    <a:p>
      <a:pPr>
        <a:defRPr lang="en-US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1F4E78"/>
                </a:solidFill>
                <a:latin typeface="+mn-lt"/>
              </a:rPr>
              <a:t>Profit by Year &amp; Sales Channel</a:t>
            </a:r>
            <a:endParaRPr b="1">
              <a:solidFill>
                <a:srgbClr val="1F4E78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tx>
            <c:strRef>
              <c:f>'Profit by year &amp; sc'!$B$1:$B$2</c:f>
              <c:strCache>
                <c:ptCount val="1"/>
                <c:pt idx="0">
                  <c:v>Sales Channel Offline</c:v>
                </c:pt>
              </c:strCache>
            </c:strRef>
          </c:tx>
          <c:spPr>
            <a:ln w="19050" cap="rnd" cmpd="sng" algn="ctr">
              <a:solidFill>
                <a:srgbClr val="38761D">
                  <a:alpha val="100000"/>
                </a:srgb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'Profit by year &amp; sc'!$A$3:$A$10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'Profit by year &amp; sc'!$B$3:$B$10</c:f>
              <c:numCache>
                <c:formatCode>General</c:formatCode>
                <c:ptCount val="8"/>
                <c:pt idx="0">
                  <c:v>2599786.19</c:v>
                </c:pt>
                <c:pt idx="1">
                  <c:v>4869267.02</c:v>
                </c:pt>
                <c:pt idx="2">
                  <c:v>1282930.19</c:v>
                </c:pt>
                <c:pt idx="3">
                  <c:v>4993484.7</c:v>
                </c:pt>
                <c:pt idx="4">
                  <c:v>4501075.06</c:v>
                </c:pt>
                <c:pt idx="5">
                  <c:v>6281343.49</c:v>
                </c:pt>
                <c:pt idx="6">
                  <c:v>1351257.71</c:v>
                </c:pt>
                <c:pt idx="7">
                  <c:v>4701952.98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'Profit by year &amp; sc'!$C$1:$C$2</c:f>
              <c:strCache>
                <c:ptCount val="1"/>
                <c:pt idx="0">
                  <c:v>Sales Channel Online</c:v>
                </c:pt>
              </c:strCache>
            </c:strRef>
          </c:tx>
          <c:spPr>
            <a:ln w="19050" cap="rnd" cmpd="sng" algn="ctr">
              <a:solidFill>
                <a:srgbClr val="C0504D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'Profit by year &amp; sc'!$A$3:$A$10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'Profit by year &amp; sc'!$C$3:$C$10</c:f>
              <c:numCache>
                <c:formatCode>General</c:formatCode>
                <c:ptCount val="8"/>
                <c:pt idx="0">
                  <c:v>6429492.05</c:v>
                </c:pt>
                <c:pt idx="1">
                  <c:v>6899204</c:v>
                </c:pt>
                <c:pt idx="2">
                  <c:v>5048665.89</c:v>
                </c:pt>
                <c:pt idx="3">
                  <c:v>2045410.57</c:v>
                </c:pt>
                <c:pt idx="4">
                  <c:v>3459881.63</c:v>
                </c:pt>
                <c:pt idx="5">
                  <c:v>3682659.09</c:v>
                </c:pt>
                <c:pt idx="6">
                  <c:v>4281404.51</c:v>
                </c:pt>
                <c:pt idx="7">
                  <c:v>10486391.91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801006306"/>
        <c:axId val="1289701683"/>
      </c:lineChart>
      <c:catAx>
        <c:axId val="180100630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Year</a:t>
                </a:r>
                <a:endParaRPr b="1">
                  <a:solidFill>
                    <a:srgbClr val="1F4E78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289701683"/>
        <c:crosses val="autoZero"/>
        <c:auto val="1"/>
        <c:lblAlgn val="ctr"/>
        <c:lblOffset val="100"/>
        <c:noMultiLvlLbl val="0"/>
      </c:catAx>
      <c:valAx>
        <c:axId val="128970168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Profit</a:t>
                </a:r>
                <a:endParaRPr b="1">
                  <a:solidFill>
                    <a:srgbClr val="1F4E78"/>
                  </a:solidFill>
                  <a:latin typeface="+mn-lt"/>
                </a:endParaRPr>
              </a:p>
            </c:rich>
          </c:tx>
          <c:layout/>
          <c:overlay val="0"/>
        </c:title>
        <c:numFmt formatCode="[&gt;999999]0,&quot;0M&quot;;&quot;M&quot;" sourceLinked="0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801006306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c27263b-b79d-4161-a10b-2ba7f5492432}"/>
      </c:ext>
    </c:extLst>
  </c:chart>
  <c:spPr>
    <a:solidFill>
      <a:srgbClr val="CFE2F3"/>
    </a:solidFill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[Sample_Sales_Data_Practice (2).xlsx]Profit by Country!Profit by Country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Profit by Country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by Country'!$B$1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'Profit by Country'!$A$2:$A$26</c:f>
              <c:strCache>
                <c:ptCount val="25"/>
                <c:pt idx="0">
                  <c:v>Armenia</c:v>
                </c:pt>
                <c:pt idx="1">
                  <c:v>Australia</c:v>
                </c:pt>
                <c:pt idx="2">
                  <c:v>Bulgaria</c:v>
                </c:pt>
                <c:pt idx="3">
                  <c:v>Canada</c:v>
                </c:pt>
                <c:pt idx="4">
                  <c:v>Cape Verde</c:v>
                </c:pt>
                <c:pt idx="5">
                  <c:v>Chad</c:v>
                </c:pt>
                <c:pt idx="6">
                  <c:v>Egypt</c:v>
                </c:pt>
                <c:pt idx="7">
                  <c:v>Eritrea</c:v>
                </c:pt>
                <c:pt idx="8">
                  <c:v>Estonia</c:v>
                </c:pt>
                <c:pt idx="9">
                  <c:v>Federated States of Micronesia</c:v>
                </c:pt>
                <c:pt idx="10">
                  <c:v>Fiji</c:v>
                </c:pt>
                <c:pt idx="11">
                  <c:v>Greece</c:v>
                </c:pt>
                <c:pt idx="12">
                  <c:v>Greenland</c:v>
                </c:pt>
                <c:pt idx="13">
                  <c:v>India</c:v>
                </c:pt>
                <c:pt idx="14">
                  <c:v>Jamaica</c:v>
                </c:pt>
                <c:pt idx="15">
                  <c:v>Japan</c:v>
                </c:pt>
                <c:pt idx="16">
                  <c:v>Libya</c:v>
                </c:pt>
                <c:pt idx="17">
                  <c:v>Maldives</c:v>
                </c:pt>
                <c:pt idx="18">
                  <c:v>Montenegro</c:v>
                </c:pt>
                <c:pt idx="19">
                  <c:v>Panama</c:v>
                </c:pt>
                <c:pt idx="20">
                  <c:v>Saudi Arabia</c:v>
                </c:pt>
                <c:pt idx="21">
                  <c:v>Senegal</c:v>
                </c:pt>
                <c:pt idx="22">
                  <c:v>Sudan</c:v>
                </c:pt>
                <c:pt idx="23">
                  <c:v>UK</c:v>
                </c:pt>
                <c:pt idx="24">
                  <c:v>USA</c:v>
                </c:pt>
              </c:strCache>
            </c:strRef>
          </c:cat>
          <c:val>
            <c:numRef>
              <c:f>'Profit by Country'!$B$2:$B$26</c:f>
              <c:numCache>
                <c:formatCode>General</c:formatCode>
                <c:ptCount val="25"/>
                <c:pt idx="0">
                  <c:v>2135989.25</c:v>
                </c:pt>
                <c:pt idx="1">
                  <c:v>3054317.54</c:v>
                </c:pt>
                <c:pt idx="2">
                  <c:v>387758.75</c:v>
                </c:pt>
                <c:pt idx="3">
                  <c:v>1813582.82</c:v>
                </c:pt>
                <c:pt idx="4">
                  <c:v>4870045.34</c:v>
                </c:pt>
                <c:pt idx="5">
                  <c:v>291993.26</c:v>
                </c:pt>
                <c:pt idx="6">
                  <c:v>4776441.65</c:v>
                </c:pt>
                <c:pt idx="7">
                  <c:v>2141896.18</c:v>
                </c:pt>
                <c:pt idx="8">
                  <c:v>3946385.69</c:v>
                </c:pt>
                <c:pt idx="9">
                  <c:v>2720551.74</c:v>
                </c:pt>
                <c:pt idx="10">
                  <c:v>5305055.39</c:v>
                </c:pt>
                <c:pt idx="11">
                  <c:v>2739928.85</c:v>
                </c:pt>
                <c:pt idx="12">
                  <c:v>2582329.23</c:v>
                </c:pt>
                <c:pt idx="13">
                  <c:v>3342909.36</c:v>
                </c:pt>
                <c:pt idx="14">
                  <c:v>6952185.55</c:v>
                </c:pt>
                <c:pt idx="15">
                  <c:v>2202094.53</c:v>
                </c:pt>
                <c:pt idx="16">
                  <c:v>5839508.37</c:v>
                </c:pt>
                <c:pt idx="17">
                  <c:v>1068217.38</c:v>
                </c:pt>
                <c:pt idx="18">
                  <c:v>2266412.11</c:v>
                </c:pt>
                <c:pt idx="19">
                  <c:v>4987642.07</c:v>
                </c:pt>
                <c:pt idx="20">
                  <c:v>1439194.96</c:v>
                </c:pt>
                <c:pt idx="21">
                  <c:v>1284848.58</c:v>
                </c:pt>
                <c:pt idx="22">
                  <c:v>1763341.18</c:v>
                </c:pt>
                <c:pt idx="23">
                  <c:v>3977541.15</c:v>
                </c:pt>
                <c:pt idx="24">
                  <c:v>1024036.06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266725373"/>
        <c:axId val="693937772"/>
      </c:barChart>
      <c:catAx>
        <c:axId val="266725373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Country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3937772"/>
        <c:crosses val="autoZero"/>
        <c:auto val="1"/>
        <c:lblAlgn val="ctr"/>
        <c:lblOffset val="100"/>
        <c:noMultiLvlLbl val="0"/>
      </c:catAx>
      <c:valAx>
        <c:axId val="69393777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Profit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672537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464832d-3e48-4052-8c72-5c68e22700e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1F4E78"/>
                </a:solidFill>
                <a:latin typeface="+mn-lt"/>
              </a:rPr>
              <a:t>Total Profit by Year</a:t>
            </a:r>
            <a:endParaRPr b="1">
              <a:solidFill>
                <a:srgbClr val="1F4E78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tx>
            <c:strRef>
              <c:f>'Profit by Year'!$B$1</c:f>
              <c:strCache>
                <c:ptCount val="1"/>
                <c:pt idx="0">
                  <c:v>SUM of Total Profit</c:v>
                </c:pt>
              </c:strCache>
            </c:strRef>
          </c:tx>
          <c:spPr>
            <a:ln w="19050" cap="rnd" cmpd="sng" algn="ctr">
              <a:solidFill>
                <a:srgbClr val="38761D">
                  <a:alpha val="100000"/>
                </a:srgbClr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rgbClr val="38761D">
                  <a:alpha val="100000"/>
                </a:srgbClr>
              </a:solidFill>
              <a:ln w="6350" cap="flat" cmpd="sng" algn="ctr">
                <a:solidFill>
                  <a:srgbClr val="38761D">
                    <a:alpha val="100000"/>
                  </a:srgbClr>
                </a:solidFill>
                <a:prstDash val="solid"/>
                <a:round/>
              </a:ln>
            </c:spPr>
          </c:marker>
          <c:dLbls>
            <c:numFmt formatCode="[&gt;999999]0,&quot;0M&quot;;&quot;M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'Profit by Year'!$A$2:$A$9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'Profit by Year'!$B$2:$B$9</c:f>
              <c:numCache>
                <c:formatCode>General</c:formatCode>
                <c:ptCount val="8"/>
                <c:pt idx="0">
                  <c:v>9029278.24</c:v>
                </c:pt>
                <c:pt idx="1">
                  <c:v>11768471.02</c:v>
                </c:pt>
                <c:pt idx="2">
                  <c:v>6331596.08</c:v>
                </c:pt>
                <c:pt idx="3">
                  <c:v>7038895.27</c:v>
                </c:pt>
                <c:pt idx="4">
                  <c:v>7960956.69</c:v>
                </c:pt>
                <c:pt idx="5">
                  <c:v>9964002.58</c:v>
                </c:pt>
                <c:pt idx="6">
                  <c:v>5632662.22</c:v>
                </c:pt>
                <c:pt idx="7">
                  <c:v>15188344.89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1"/>
        <c:axId val="603645174"/>
        <c:axId val="907524868"/>
      </c:lineChart>
      <c:catAx>
        <c:axId val="60364517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Year</a:t>
                </a:r>
                <a:endParaRPr b="1">
                  <a:solidFill>
                    <a:srgbClr val="1F4E78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907524868"/>
        <c:crosses val="autoZero"/>
        <c:auto val="1"/>
        <c:lblAlgn val="ctr"/>
        <c:lblOffset val="100"/>
        <c:noMultiLvlLbl val="0"/>
      </c:catAx>
      <c:valAx>
        <c:axId val="90752486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Profit</a:t>
                </a:r>
                <a:endParaRPr b="1">
                  <a:solidFill>
                    <a:srgbClr val="1F4E78"/>
                  </a:solidFill>
                  <a:latin typeface="+mn-lt"/>
                </a:endParaRPr>
              </a:p>
            </c:rich>
          </c:tx>
          <c:layout/>
          <c:overlay val="0"/>
        </c:title>
        <c:numFmt formatCode="[&gt;999999]0,&quot;M&quot;;&quot;0M&quot;" sourceLinked="0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603645174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5b5815a-993a-4921-ab07-7a23a7d7226b}"/>
      </c:ext>
    </c:extLst>
  </c:chart>
  <c:spPr>
    <a:solidFill>
      <a:srgbClr val="CFE2F3"/>
    </a:solidFill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1F4E78"/>
                </a:solidFill>
                <a:latin typeface="+mn-lt"/>
              </a:rPr>
              <a:t>Revenue &amp; Profit by Items</a:t>
            </a:r>
            <a:endParaRPr b="1">
              <a:solidFill>
                <a:srgbClr val="1F4E78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'Revenue &amp; Profit by Items'!$B$1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38761D"/>
            </a:solidFill>
            <a:ln cmpd="sng">
              <a:noFill/>
            </a:ln>
          </c:spPr>
          <c:invertIfNegative val="0"/>
          <c:dLbls>
            <c:delete val="1"/>
          </c:dLbls>
          <c:cat>
            <c:strRef>
              <c:f>'Revenue &amp; Profit by Items'!$A$2:$A$11</c:f>
              <c:strCache>
                <c:ptCount val="10"/>
                <c:pt idx="0">
                  <c:v>Item Type</c:v>
                </c:pt>
                <c:pt idx="1">
                  <c:v>Baby Food</c:v>
                </c:pt>
                <c:pt idx="2">
                  <c:v>Beverages</c:v>
                </c:pt>
                <c:pt idx="3">
                  <c:v>Cereal</c:v>
                </c:pt>
                <c:pt idx="4">
                  <c:v>Clothes</c:v>
                </c:pt>
                <c:pt idx="5">
                  <c:v>Cosmetics</c:v>
                </c:pt>
                <c:pt idx="6">
                  <c:v>Fruits</c:v>
                </c:pt>
                <c:pt idx="7">
                  <c:v>Household</c:v>
                </c:pt>
                <c:pt idx="8">
                  <c:v>Office Supplies</c:v>
                </c:pt>
                <c:pt idx="9">
                  <c:v>Snacks</c:v>
                </c:pt>
              </c:strCache>
            </c:strRef>
          </c:cat>
          <c:val>
            <c:numRef>
              <c:f>'Revenue &amp; Profit by Items'!$B$2:$B$11</c:f>
              <c:numCache>
                <c:formatCode>General</c:formatCode>
                <c:ptCount val="10"/>
                <c:pt idx="0">
                  <c:v>0</c:v>
                </c:pt>
                <c:pt idx="1">
                  <c:v>19500839.2</c:v>
                </c:pt>
                <c:pt idx="2">
                  <c:v>4627371.45</c:v>
                </c:pt>
                <c:pt idx="3">
                  <c:v>13177142</c:v>
                </c:pt>
                <c:pt idx="4">
                  <c:v>8368116</c:v>
                </c:pt>
                <c:pt idx="5">
                  <c:v>39036276.4</c:v>
                </c:pt>
                <c:pt idx="6">
                  <c:v>590589</c:v>
                </c:pt>
                <c:pt idx="7">
                  <c:v>78446210.49</c:v>
                </c:pt>
                <c:pt idx="8">
                  <c:v>43287231.12</c:v>
                </c:pt>
                <c:pt idx="9">
                  <c:v>14059636.68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6015267"/>
        <c:axId val="1279693476"/>
      </c:barChart>
      <c:lineChart>
        <c:grouping val="none"/>
        <c:varyColors val="0"/>
        <c:ser>
          <c:idx val="1"/>
          <c:order val="1"/>
          <c:tx>
            <c:strRef>
              <c:f>'Revenue &amp; Profit by Items'!$C$1</c:f>
              <c:strCache>
                <c:ptCount val="1"/>
                <c:pt idx="0">
                  <c:v/>
                </c:pt>
              </c:strCache>
            </c:strRef>
          </c:tx>
          <c:spPr>
            <a:ln w="19050" cap="rnd" cmpd="sng" algn="ctr">
              <a:solidFill>
                <a:srgbClr val="C0504D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'Revenue &amp; Profit by Items'!$A$2:$A$11</c:f>
              <c:strCache>
                <c:ptCount val="10"/>
                <c:pt idx="0">
                  <c:v>Item Type</c:v>
                </c:pt>
                <c:pt idx="1">
                  <c:v>Baby Food</c:v>
                </c:pt>
                <c:pt idx="2">
                  <c:v>Beverages</c:v>
                </c:pt>
                <c:pt idx="3">
                  <c:v>Cereal</c:v>
                </c:pt>
                <c:pt idx="4">
                  <c:v>Clothes</c:v>
                </c:pt>
                <c:pt idx="5">
                  <c:v>Cosmetics</c:v>
                </c:pt>
                <c:pt idx="6">
                  <c:v>Fruits</c:v>
                </c:pt>
                <c:pt idx="7">
                  <c:v>Household</c:v>
                </c:pt>
                <c:pt idx="8">
                  <c:v>Office Supplies</c:v>
                </c:pt>
                <c:pt idx="9">
                  <c:v>Snacks</c:v>
                </c:pt>
              </c:strCache>
            </c:strRef>
          </c:cat>
          <c:val>
            <c:numRef>
              <c:f>'Revenue &amp; Profit by Items'!$C$2:$C$11</c:f>
              <c:numCache>
                <c:formatCode>General</c:formatCode>
                <c:ptCount val="10"/>
                <c:pt idx="0">
                  <c:v>0</c:v>
                </c:pt>
                <c:pt idx="1">
                  <c:v>7322745.4</c:v>
                </c:pt>
                <c:pt idx="2">
                  <c:v>1527178.86</c:v>
                </c:pt>
                <c:pt idx="3">
                  <c:v>5675075.4</c:v>
                </c:pt>
                <c:pt idx="4">
                  <c:v>5623668</c:v>
                </c:pt>
                <c:pt idx="5">
                  <c:v>15524330.69</c:v>
                </c:pt>
                <c:pt idx="6">
                  <c:v>152553</c:v>
                </c:pt>
                <c:pt idx="7">
                  <c:v>19454547.51</c:v>
                </c:pt>
                <c:pt idx="8">
                  <c:v>8392090</c:v>
                </c:pt>
                <c:pt idx="9">
                  <c:v>5080930.44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596015267"/>
        <c:axId val="1279693476"/>
      </c:lineChart>
      <c:catAx>
        <c:axId val="159601526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Item</a:t>
                </a:r>
                <a:endParaRPr b="1">
                  <a:solidFill>
                    <a:srgbClr val="1F4E78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279693476"/>
        <c:crosses val="autoZero"/>
        <c:auto val="1"/>
        <c:lblAlgn val="ctr"/>
        <c:lblOffset val="100"/>
        <c:noMultiLvlLbl val="0"/>
      </c:catAx>
      <c:valAx>
        <c:axId val="1279693476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Revenue</a:t>
                </a:r>
                <a:endParaRPr b="1">
                  <a:solidFill>
                    <a:srgbClr val="1F4E78"/>
                  </a:solidFill>
                  <a:latin typeface="+mn-lt"/>
                </a:endParaRPr>
              </a:p>
            </c:rich>
          </c:tx>
          <c:layout/>
          <c:overlay val="0"/>
        </c:title>
        <c:numFmt formatCode="[&gt;999999]0,&quot;0M&quot;;&quot;M&quot;" sourceLinked="0"/>
        <c:majorTickMark val="none"/>
        <c:minorTickMark val="none"/>
        <c:tickLblPos val="nextTo"/>
        <c:spPr>
          <a:ln w="6350" cap="flat" cmpd="sng" algn="ctr">
            <a:solidFill>
              <a:srgbClr val="FFFF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59601526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a22564c-519a-48fb-b83c-49990d6bb2e1}"/>
      </c:ext>
    </c:extLst>
  </c:chart>
  <c:spPr>
    <a:solidFill>
      <a:srgbClr val="CFE2F3"/>
    </a:solidFill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1F4E78"/>
                </a:solidFill>
                <a:latin typeface="+mn-lt"/>
              </a:rPr>
              <a:t>Profit by Sales Channel</a:t>
            </a:r>
            <a:endParaRPr b="1">
              <a:solidFill>
                <a:srgbClr val="1F4E78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'Profit by Sales Channel'!$B$1</c:f>
              <c:strCache>
                <c:ptCount val="1"/>
                <c:pt idx="0">
                  <c:v>SUM of Total Profit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rgbClr val="38761D"/>
              </a:solidFill>
            </c:spPr>
          </c:dPt>
          <c:dPt>
            <c:idx val="1"/>
            <c:bubble3D val="0"/>
            <c:spPr>
              <a:solidFill>
                <a:srgbClr val="C0504D"/>
              </a:solidFill>
            </c:spPr>
          </c:dPt>
          <c:dLbls>
            <c:numFmt formatCode="[&gt;9999999]0,,&quot;M&quot;;&quot;0M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'Profit by Sales Channel'!$A$2:$A$3</c:f>
              <c:strCache>
                <c:ptCount val="2"/>
                <c:pt idx="0">
                  <c:v>Offline</c:v>
                </c:pt>
                <c:pt idx="1">
                  <c:v>Online</c:v>
                </c:pt>
              </c:strCache>
            </c:strRef>
          </c:cat>
          <c:val>
            <c:numRef>
              <c:f>'Profit by Sales Channel'!$B$2:$B$3</c:f>
              <c:numCache>
                <c:formatCode>General</c:formatCode>
                <c:ptCount val="2"/>
                <c:pt idx="0">
                  <c:v>30581097.34</c:v>
                </c:pt>
                <c:pt idx="1">
                  <c:v>42333109.65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  <c:extLst>
      <c:ext uri="{0b15fc19-7d7d-44ad-8c2d-2c3a37ce22c3}">
        <chartProps xmlns="https://web.wps.cn/et/2018/main" chartId="{ec549c96-a68c-4275-ab13-57b99a6c815f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1F4E78"/>
                </a:solidFill>
                <a:latin typeface="+mn-lt"/>
              </a:rPr>
              <a:t>Profit by Year &amp; Sales Channel</a:t>
            </a:r>
            <a:endParaRPr b="1">
              <a:solidFill>
                <a:srgbClr val="1F4E78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tx>
            <c:strRef>
              <c:f>'Profit by year &amp; sc'!$B$1:$B$2</c:f>
              <c:strCache>
                <c:ptCount val="1"/>
                <c:pt idx="0">
                  <c:v>Sales Channel Offline</c:v>
                </c:pt>
              </c:strCache>
            </c:strRef>
          </c:tx>
          <c:spPr>
            <a:ln w="19050" cap="rnd" cmpd="sng" algn="ctr">
              <a:solidFill>
                <a:srgbClr val="38761D">
                  <a:alpha val="100000"/>
                </a:srgb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'Profit by year &amp; sc'!$A$3:$A$10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'Profit by year &amp; sc'!$B$3:$B$10</c:f>
              <c:numCache>
                <c:formatCode>General</c:formatCode>
                <c:ptCount val="8"/>
                <c:pt idx="0">
                  <c:v>2599786.19</c:v>
                </c:pt>
                <c:pt idx="1">
                  <c:v>4869267.02</c:v>
                </c:pt>
                <c:pt idx="2">
                  <c:v>1282930.19</c:v>
                </c:pt>
                <c:pt idx="3">
                  <c:v>4993484.7</c:v>
                </c:pt>
                <c:pt idx="4">
                  <c:v>4501075.06</c:v>
                </c:pt>
                <c:pt idx="5">
                  <c:v>6281343.49</c:v>
                </c:pt>
                <c:pt idx="6">
                  <c:v>1351257.71</c:v>
                </c:pt>
                <c:pt idx="7">
                  <c:v>4701952.98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'Profit by year &amp; sc'!$C$1:$C$2</c:f>
              <c:strCache>
                <c:ptCount val="1"/>
                <c:pt idx="0">
                  <c:v>Sales Channel Online</c:v>
                </c:pt>
              </c:strCache>
            </c:strRef>
          </c:tx>
          <c:spPr>
            <a:ln w="19050" cap="rnd" cmpd="sng" algn="ctr">
              <a:solidFill>
                <a:srgbClr val="C0504D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'Profit by year &amp; sc'!$A$3:$A$10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'Profit by year &amp; sc'!$C$3:$C$10</c:f>
              <c:numCache>
                <c:formatCode>General</c:formatCode>
                <c:ptCount val="8"/>
                <c:pt idx="0">
                  <c:v>6429492.05</c:v>
                </c:pt>
                <c:pt idx="1">
                  <c:v>6899204</c:v>
                </c:pt>
                <c:pt idx="2">
                  <c:v>5048665.89</c:v>
                </c:pt>
                <c:pt idx="3">
                  <c:v>2045410.57</c:v>
                </c:pt>
                <c:pt idx="4">
                  <c:v>3459881.63</c:v>
                </c:pt>
                <c:pt idx="5">
                  <c:v>3682659.09</c:v>
                </c:pt>
                <c:pt idx="6">
                  <c:v>4281404.51</c:v>
                </c:pt>
                <c:pt idx="7">
                  <c:v>10486391.91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801006306"/>
        <c:axId val="1289701683"/>
      </c:lineChart>
      <c:catAx>
        <c:axId val="180100630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Year</a:t>
                </a:r>
                <a:endParaRPr b="1">
                  <a:solidFill>
                    <a:srgbClr val="1F4E78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289701683"/>
        <c:crosses val="autoZero"/>
        <c:auto val="1"/>
        <c:lblAlgn val="ctr"/>
        <c:lblOffset val="100"/>
        <c:noMultiLvlLbl val="0"/>
      </c:catAx>
      <c:valAx>
        <c:axId val="128970168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Profit</a:t>
                </a:r>
                <a:endParaRPr b="1">
                  <a:solidFill>
                    <a:srgbClr val="1F4E78"/>
                  </a:solidFill>
                  <a:latin typeface="+mn-lt"/>
                </a:endParaRPr>
              </a:p>
            </c:rich>
          </c:tx>
          <c:layout/>
          <c:overlay val="0"/>
        </c:title>
        <c:numFmt formatCode="[&gt;999999]0,&quot;0M&quot;;&quot;M&quot;" sourceLinked="0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801006306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c27263b-b79d-4161-a10b-2ba7f5492432}"/>
      </c:ext>
    </c:extLst>
  </c:chart>
  <c:spPr>
    <a:solidFill>
      <a:srgbClr val="CFE2F3"/>
    </a:solidFill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[Sample_Sales_Data_Practice (2).xlsx]Profit by Country!Profit by Country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Profit by Country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by Country'!$B$1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'Profit by Country'!$A$2:$A$26</c:f>
              <c:strCache>
                <c:ptCount val="25"/>
                <c:pt idx="0">
                  <c:v>Armenia</c:v>
                </c:pt>
                <c:pt idx="1">
                  <c:v>Australia</c:v>
                </c:pt>
                <c:pt idx="2">
                  <c:v>Bulgaria</c:v>
                </c:pt>
                <c:pt idx="3">
                  <c:v>Canada</c:v>
                </c:pt>
                <c:pt idx="4">
                  <c:v>Cape Verde</c:v>
                </c:pt>
                <c:pt idx="5">
                  <c:v>Chad</c:v>
                </c:pt>
                <c:pt idx="6">
                  <c:v>Egypt</c:v>
                </c:pt>
                <c:pt idx="7">
                  <c:v>Eritrea</c:v>
                </c:pt>
                <c:pt idx="8">
                  <c:v>Estonia</c:v>
                </c:pt>
                <c:pt idx="9">
                  <c:v>Federated States of Micronesia</c:v>
                </c:pt>
                <c:pt idx="10">
                  <c:v>Fiji</c:v>
                </c:pt>
                <c:pt idx="11">
                  <c:v>Greece</c:v>
                </c:pt>
                <c:pt idx="12">
                  <c:v>Greenland</c:v>
                </c:pt>
                <c:pt idx="13">
                  <c:v>India</c:v>
                </c:pt>
                <c:pt idx="14">
                  <c:v>Jamaica</c:v>
                </c:pt>
                <c:pt idx="15">
                  <c:v>Japan</c:v>
                </c:pt>
                <c:pt idx="16">
                  <c:v>Libya</c:v>
                </c:pt>
                <c:pt idx="17">
                  <c:v>Maldives</c:v>
                </c:pt>
                <c:pt idx="18">
                  <c:v>Montenegro</c:v>
                </c:pt>
                <c:pt idx="19">
                  <c:v>Panama</c:v>
                </c:pt>
                <c:pt idx="20">
                  <c:v>Saudi Arabia</c:v>
                </c:pt>
                <c:pt idx="21">
                  <c:v>Senegal</c:v>
                </c:pt>
                <c:pt idx="22">
                  <c:v>Sudan</c:v>
                </c:pt>
                <c:pt idx="23">
                  <c:v>UK</c:v>
                </c:pt>
                <c:pt idx="24">
                  <c:v>USA</c:v>
                </c:pt>
              </c:strCache>
            </c:strRef>
          </c:cat>
          <c:val>
            <c:numRef>
              <c:f>'Profit by Country'!$B$2:$B$26</c:f>
              <c:numCache>
                <c:formatCode>General</c:formatCode>
                <c:ptCount val="25"/>
                <c:pt idx="0">
                  <c:v>2135989.25</c:v>
                </c:pt>
                <c:pt idx="1">
                  <c:v>3054317.54</c:v>
                </c:pt>
                <c:pt idx="2">
                  <c:v>387758.75</c:v>
                </c:pt>
                <c:pt idx="3">
                  <c:v>1813582.82</c:v>
                </c:pt>
                <c:pt idx="4">
                  <c:v>4870045.34</c:v>
                </c:pt>
                <c:pt idx="5">
                  <c:v>291993.26</c:v>
                </c:pt>
                <c:pt idx="6">
                  <c:v>4776441.65</c:v>
                </c:pt>
                <c:pt idx="7">
                  <c:v>2141896.18</c:v>
                </c:pt>
                <c:pt idx="8">
                  <c:v>3946385.69</c:v>
                </c:pt>
                <c:pt idx="9">
                  <c:v>2720551.74</c:v>
                </c:pt>
                <c:pt idx="10">
                  <c:v>5305055.39</c:v>
                </c:pt>
                <c:pt idx="11">
                  <c:v>2739928.85</c:v>
                </c:pt>
                <c:pt idx="12">
                  <c:v>2582329.23</c:v>
                </c:pt>
                <c:pt idx="13">
                  <c:v>3342909.36</c:v>
                </c:pt>
                <c:pt idx="14">
                  <c:v>6952185.55</c:v>
                </c:pt>
                <c:pt idx="15">
                  <c:v>2202094.53</c:v>
                </c:pt>
                <c:pt idx="16">
                  <c:v>5839508.37</c:v>
                </c:pt>
                <c:pt idx="17">
                  <c:v>1068217.38</c:v>
                </c:pt>
                <c:pt idx="18">
                  <c:v>2266412.11</c:v>
                </c:pt>
                <c:pt idx="19">
                  <c:v>4987642.07</c:v>
                </c:pt>
                <c:pt idx="20">
                  <c:v>1439194.96</c:v>
                </c:pt>
                <c:pt idx="21">
                  <c:v>1284848.58</c:v>
                </c:pt>
                <c:pt idx="22">
                  <c:v>1763341.18</c:v>
                </c:pt>
                <c:pt idx="23">
                  <c:v>3977541.15</c:v>
                </c:pt>
                <c:pt idx="24">
                  <c:v>1024036.06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266725373"/>
        <c:axId val="693937772"/>
      </c:barChart>
      <c:catAx>
        <c:axId val="266725373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Country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3937772"/>
        <c:crosses val="autoZero"/>
        <c:auto val="1"/>
        <c:lblAlgn val="ctr"/>
        <c:lblOffset val="100"/>
        <c:noMultiLvlLbl val="0"/>
      </c:catAx>
      <c:valAx>
        <c:axId val="69393777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Profit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672537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1F4E78"/>
                </a:solidFill>
                <a:latin typeface="+mn-lt"/>
              </a:rPr>
              <a:t>Total Profit by Year</a:t>
            </a:r>
            <a:endParaRPr b="1">
              <a:solidFill>
                <a:srgbClr val="1F4E78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tx>
            <c:strRef>
              <c:f>'Profit by Year'!$B$1</c:f>
              <c:strCache>
                <c:ptCount val="1"/>
                <c:pt idx="0">
                  <c:v>SUM of Total Profit</c:v>
                </c:pt>
              </c:strCache>
            </c:strRef>
          </c:tx>
          <c:spPr>
            <a:ln w="19050" cap="rnd" cmpd="sng" algn="ctr">
              <a:solidFill>
                <a:srgbClr val="38761D">
                  <a:alpha val="100000"/>
                </a:srgbClr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rgbClr val="38761D">
                  <a:alpha val="100000"/>
                </a:srgbClr>
              </a:solidFill>
              <a:ln w="6350" cap="flat" cmpd="sng" algn="ctr">
                <a:solidFill>
                  <a:srgbClr val="38761D">
                    <a:alpha val="100000"/>
                  </a:srgbClr>
                </a:solidFill>
                <a:prstDash val="solid"/>
                <a:round/>
              </a:ln>
            </c:spPr>
          </c:marker>
          <c:dLbls>
            <c:numFmt formatCode="[&gt;999999]0,&quot;0M&quot;;&quot;M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'Profit by Year'!$A$2:$A$9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'Profit by Year'!$B$2:$B$9</c:f>
              <c:numCache>
                <c:formatCode>General</c:formatCode>
                <c:ptCount val="8"/>
                <c:pt idx="0">
                  <c:v>9029278.24</c:v>
                </c:pt>
                <c:pt idx="1">
                  <c:v>11768471.02</c:v>
                </c:pt>
                <c:pt idx="2">
                  <c:v>6331596.08</c:v>
                </c:pt>
                <c:pt idx="3">
                  <c:v>7038895.27</c:v>
                </c:pt>
                <c:pt idx="4">
                  <c:v>7960956.69</c:v>
                </c:pt>
                <c:pt idx="5">
                  <c:v>9964002.58</c:v>
                </c:pt>
                <c:pt idx="6">
                  <c:v>5632662.22</c:v>
                </c:pt>
                <c:pt idx="7">
                  <c:v>15188344.89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1"/>
        <c:axId val="603645174"/>
        <c:axId val="907524868"/>
      </c:lineChart>
      <c:catAx>
        <c:axId val="60364517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907524868"/>
        <c:crosses val="autoZero"/>
        <c:auto val="1"/>
        <c:lblAlgn val="ctr"/>
        <c:lblOffset val="100"/>
        <c:noMultiLvlLbl val="0"/>
      </c:catAx>
      <c:valAx>
        <c:axId val="90752486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Profit</a:t>
                </a:r>
                <a:endParaRPr b="1">
                  <a:solidFill>
                    <a:srgbClr val="1F4E78"/>
                  </a:solidFill>
                  <a:latin typeface="+mn-lt"/>
                </a:endParaRPr>
              </a:p>
            </c:rich>
          </c:tx>
          <c:layout/>
          <c:overlay val="0"/>
        </c:title>
        <c:numFmt formatCode="[&gt;999999]0,&quot;M&quot;;&quot;0M&quot;" sourceLinked="0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603645174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5b5815a-993a-4921-ab07-7a23a7d7226b}"/>
      </c:ext>
    </c:extLst>
  </c:chart>
  <c:spPr>
    <a:solidFill>
      <a:srgbClr val="CFE2F3"/>
    </a:solidFill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1F4E78"/>
                </a:solidFill>
                <a:latin typeface="+mn-lt"/>
              </a:rPr>
              <a:t>Revenue by Item</a:t>
            </a:r>
            <a:endParaRPr b="1">
              <a:solidFill>
                <a:srgbClr val="1F4E78"/>
              </a:solidFill>
              <a:latin typeface="+mn-lt"/>
            </a:endParaRPr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0.157494519779772"/>
          <c:y val="0.117250673854447"/>
          <c:w val="0.797644142536705"/>
          <c:h val="0.711590296495957"/>
        </c:manualLayout>
      </c:layout>
      <c:barChart>
        <c:barDir val="bar"/>
        <c:grouping val="none"/>
        <c:varyColors val="0"/>
        <c:ser>
          <c:idx val="0"/>
          <c:order val="0"/>
          <c:tx>
            <c:strRef>
              <c:f>'Rev by Items'!$B$1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solidFill>
              <a:schemeClr val="accent1"/>
            </a:solidFill>
            <a:ln w="9525" cmpd="sng">
              <a:noFill/>
            </a:ln>
          </c:spPr>
          <c:invertIfNegative val="0"/>
          <c:dLbls>
            <c:numFmt formatCode="[&gt;9999999]0,,&quot;M&quot;;&quot;0M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'Rev by Items'!$A$2:$A$11</c:f>
              <c:strCache>
                <c:ptCount val="10"/>
                <c:pt idx="0">
                  <c:v>Baby Food</c:v>
                </c:pt>
                <c:pt idx="1">
                  <c:v>Beverages</c:v>
                </c:pt>
                <c:pt idx="2">
                  <c:v>Cereal</c:v>
                </c:pt>
                <c:pt idx="3">
                  <c:v>Clothes</c:v>
                </c:pt>
                <c:pt idx="4">
                  <c:v>Cosmetics</c:v>
                </c:pt>
                <c:pt idx="5">
                  <c:v>Fruits</c:v>
                </c:pt>
                <c:pt idx="6">
                  <c:v>Household</c:v>
                </c:pt>
                <c:pt idx="7">
                  <c:v>Office Supplies</c:v>
                </c:pt>
                <c:pt idx="8">
                  <c:v>Snacks</c:v>
                </c:pt>
                <c:pt idx="9">
                  <c:v>Vegetables</c:v>
                </c:pt>
              </c:strCache>
            </c:strRef>
          </c:cat>
          <c:val>
            <c:numRef>
              <c:f>'Rev by Items'!$B$2:$B$11</c:f>
              <c:numCache>
                <c:formatCode>General</c:formatCode>
                <c:ptCount val="10"/>
                <c:pt idx="0">
                  <c:v>19500839.2</c:v>
                </c:pt>
                <c:pt idx="1">
                  <c:v>4627371.45</c:v>
                </c:pt>
                <c:pt idx="2">
                  <c:v>13177142</c:v>
                </c:pt>
                <c:pt idx="3">
                  <c:v>8368116</c:v>
                </c:pt>
                <c:pt idx="4">
                  <c:v>39036276.4</c:v>
                </c:pt>
                <c:pt idx="5">
                  <c:v>590589</c:v>
                </c:pt>
                <c:pt idx="6">
                  <c:v>78446210.49</c:v>
                </c:pt>
                <c:pt idx="7">
                  <c:v>43287231.12</c:v>
                </c:pt>
                <c:pt idx="8">
                  <c:v>14059636.68</c:v>
                </c:pt>
                <c:pt idx="9">
                  <c:v>10154556.78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7484570"/>
        <c:axId val="994061547"/>
      </c:barChart>
      <c:catAx>
        <c:axId val="67484570"/>
        <c:scaling>
          <c:orientation val="maxMin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Item</a:t>
                </a:r>
                <a:endParaRPr b="1">
                  <a:solidFill>
                    <a:srgbClr val="1F4E78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994061547"/>
        <c:crosses val="autoZero"/>
        <c:auto val="1"/>
        <c:lblAlgn val="ctr"/>
        <c:lblOffset val="100"/>
        <c:noMultiLvlLbl val="0"/>
      </c:catAx>
      <c:valAx>
        <c:axId val="99406154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Revenue</a:t>
                </a:r>
                <a:endParaRPr b="1">
                  <a:solidFill>
                    <a:srgbClr val="1F4E78"/>
                  </a:solidFill>
                  <a:latin typeface="+mn-lt"/>
                </a:endParaRPr>
              </a:p>
            </c:rich>
          </c:tx>
          <c:layout/>
          <c:overlay val="0"/>
        </c:title>
        <c:numFmt formatCode="[&gt;999999]0,,&quot;M&quot;;&quot;0M&quot;" sourceLinked="0"/>
        <c:majorTickMark val="none"/>
        <c:minorTickMark val="none"/>
        <c:tickLblPos val="nextTo"/>
        <c:spPr>
          <a:ln w="6350" cap="flat" cmpd="sng" algn="ctr">
            <a:solidFill>
              <a:srgbClr val="FFFF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67484570"/>
        <c:crosses val="max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03d4f5-3ea4-4806-97a1-c2a36961129e}"/>
      </c:ext>
    </c:extLst>
  </c:chart>
  <c:spPr>
    <a:solidFill>
      <a:srgbClr val="D9EAD3"/>
    </a:solidFill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1F4E78"/>
                </a:solidFill>
                <a:latin typeface="+mn-lt"/>
              </a:rPr>
              <a:t>Revenue by Order Priority</a:t>
            </a:r>
            <a:endParaRPr b="1">
              <a:solidFill>
                <a:srgbClr val="1F4E78"/>
              </a:solidFill>
              <a:latin typeface="+mn-lt"/>
            </a:endParaRPr>
          </a:p>
        </c:rich>
      </c:tx>
      <c:layout/>
      <c:overlay val="0"/>
    </c:title>
    <c:autoTitleDeleted val="0"/>
    <c:view3D>
      <c:rotX val="50"/>
      <c:rotY val="0"/>
      <c:depthPercent val="10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0.035180055401662"/>
          <c:y val="0.163385826771654"/>
          <c:w val="0.929639889196676"/>
          <c:h val="0.786614173228346"/>
        </c:manualLayout>
      </c:layout>
      <c:pie3DChart>
        <c:varyColors val="1"/>
        <c:ser>
          <c:idx val="0"/>
          <c:order val="0"/>
          <c:tx>
            <c:strRef>
              <c:f>'Revenue by OP'!$B$1</c:f>
              <c:strCache>
                <c:ptCount val="1"/>
                <c:pt idx="0">
                  <c:v>SUM of Total Revenue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rgbClr val="93C47D"/>
              </a:solidFill>
            </c:spPr>
          </c:dPt>
          <c:dPt>
            <c:idx val="1"/>
            <c:bubble3D val="0"/>
            <c:spPr>
              <a:solidFill>
                <a:srgbClr val="38761D"/>
              </a:solidFill>
            </c:spPr>
          </c:dPt>
          <c:dPt>
            <c:idx val="2"/>
            <c:bubble3D val="0"/>
            <c:spPr>
              <a:solidFill>
                <a:srgbClr val="134F5C"/>
              </a:solidFill>
            </c:spPr>
          </c:dPt>
          <c:dPt>
            <c:idx val="3"/>
            <c:bubble3D val="0"/>
            <c:spPr>
              <a:solidFill>
                <a:srgbClr val="76A5AF"/>
              </a:solidFill>
            </c:spPr>
          </c:dPt>
          <c:dPt>
            <c:idx val="4"/>
            <c:bubble3D val="0"/>
            <c:spPr>
              <a:solidFill>
                <a:srgbClr val="D9EAD3"/>
              </a:solidFill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'Revenue by OP'!$A$2:$A$6</c:f>
              <c:strCache>
                <c:ptCount val="5"/>
                <c:pt idx="0">
                  <c:v>C</c:v>
                </c:pt>
                <c:pt idx="1">
                  <c:v>H</c:v>
                </c:pt>
                <c:pt idx="2">
                  <c:v>L</c:v>
                </c:pt>
                <c:pt idx="3">
                  <c:v>M</c:v>
                </c:pt>
                <c:pt idx="4">
                  <c:v>Grand Total</c:v>
                </c:pt>
              </c:strCache>
            </c:strRef>
          </c:cat>
          <c:val>
            <c:numRef>
              <c:f>'Revenue by OP'!$B$2:$B$6</c:f>
              <c:numCache>
                <c:formatCode>General</c:formatCode>
                <c:ptCount val="5"/>
                <c:pt idx="0">
                  <c:v>56597818.24</c:v>
                </c:pt>
                <c:pt idx="1">
                  <c:v>56968622.72</c:v>
                </c:pt>
                <c:pt idx="2">
                  <c:v>63186288.9</c:v>
                </c:pt>
                <c:pt idx="3">
                  <c:v>54495239.26</c:v>
                </c:pt>
                <c:pt idx="4">
                  <c:v>231247969.12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plotVisOnly val="1"/>
    <c:dispBlanksAs val="gap"/>
    <c:showDLblsOverMax val="0"/>
    <c:extLst>
      <c:ext uri="{0b15fc19-7d7d-44ad-8c2d-2c3a37ce22c3}">
        <chartProps xmlns="https://web.wps.cn/et/2018/main" chartId="{047ae40a-493f-45c1-a18d-e2ffaa2d71d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1F4E78"/>
                </a:solidFill>
                <a:latin typeface="+mn-lt"/>
              </a:rPr>
              <a:t>Revenue by Countries</a:t>
            </a:r>
            <a:endParaRPr b="1">
              <a:solidFill>
                <a:srgbClr val="1F4E78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'Revenue by Countries'!$B$1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delete val="1"/>
          </c:dLbls>
          <c:cat>
            <c:strRef>
              <c:f>'Revenue by Countries'!$A$2:$A$26</c:f>
              <c:strCache>
                <c:ptCount val="25"/>
                <c:pt idx="0">
                  <c:v>Armenia</c:v>
                </c:pt>
                <c:pt idx="1">
                  <c:v>Australia</c:v>
                </c:pt>
                <c:pt idx="2">
                  <c:v>Bulgaria</c:v>
                </c:pt>
                <c:pt idx="3">
                  <c:v>Canada</c:v>
                </c:pt>
                <c:pt idx="4">
                  <c:v>Cape Verde</c:v>
                </c:pt>
                <c:pt idx="5">
                  <c:v>Chad</c:v>
                </c:pt>
                <c:pt idx="6">
                  <c:v>Egypt</c:v>
                </c:pt>
                <c:pt idx="7">
                  <c:v>Eritrea</c:v>
                </c:pt>
                <c:pt idx="8">
                  <c:v>Estonia</c:v>
                </c:pt>
                <c:pt idx="9">
                  <c:v>Federated States of Micronesia</c:v>
                </c:pt>
                <c:pt idx="10">
                  <c:v>Fiji</c:v>
                </c:pt>
                <c:pt idx="11">
                  <c:v>Greece</c:v>
                </c:pt>
                <c:pt idx="12">
                  <c:v>Greenland</c:v>
                </c:pt>
                <c:pt idx="13">
                  <c:v>India</c:v>
                </c:pt>
                <c:pt idx="14">
                  <c:v>Jamaica</c:v>
                </c:pt>
                <c:pt idx="15">
                  <c:v>Japan</c:v>
                </c:pt>
                <c:pt idx="16">
                  <c:v>Libya</c:v>
                </c:pt>
                <c:pt idx="17">
                  <c:v>Maldives</c:v>
                </c:pt>
                <c:pt idx="18">
                  <c:v>Montenegro</c:v>
                </c:pt>
                <c:pt idx="19">
                  <c:v>Panama</c:v>
                </c:pt>
                <c:pt idx="20">
                  <c:v>Saudi Arabia</c:v>
                </c:pt>
                <c:pt idx="21">
                  <c:v>Senegal</c:v>
                </c:pt>
                <c:pt idx="22">
                  <c:v>Sudan</c:v>
                </c:pt>
                <c:pt idx="23">
                  <c:v>UK</c:v>
                </c:pt>
                <c:pt idx="24">
                  <c:v>USA</c:v>
                </c:pt>
              </c:strCache>
            </c:strRef>
          </c:cat>
          <c:val>
            <c:numRef>
              <c:f>'Revenue by Countries'!$B$2:$B$26</c:f>
              <c:numCache>
                <c:formatCode>General</c:formatCode>
                <c:ptCount val="25"/>
                <c:pt idx="0">
                  <c:v>8116328.29</c:v>
                </c:pt>
                <c:pt idx="1">
                  <c:v>10454132.91</c:v>
                </c:pt>
                <c:pt idx="2">
                  <c:v>970412.5</c:v>
                </c:pt>
                <c:pt idx="3">
                  <c:v>5132901.16</c:v>
                </c:pt>
                <c:pt idx="4">
                  <c:v>16909681.06</c:v>
                </c:pt>
                <c:pt idx="5">
                  <c:v>1496250.3</c:v>
                </c:pt>
                <c:pt idx="6">
                  <c:v>12911060.88</c:v>
                </c:pt>
                <c:pt idx="7">
                  <c:v>8494872</c:v>
                </c:pt>
                <c:pt idx="8">
                  <c:v>11882462.09</c:v>
                </c:pt>
                <c:pt idx="9">
                  <c:v>9067818.65</c:v>
                </c:pt>
                <c:pt idx="10">
                  <c:v>19662429.12</c:v>
                </c:pt>
                <c:pt idx="11">
                  <c:v>10235650.63</c:v>
                </c:pt>
                <c:pt idx="12">
                  <c:v>6025244.15</c:v>
                </c:pt>
                <c:pt idx="13">
                  <c:v>11361369.48</c:v>
                </c:pt>
                <c:pt idx="14">
                  <c:v>23045177.28</c:v>
                </c:pt>
                <c:pt idx="15">
                  <c:v>5224038.37</c:v>
                </c:pt>
                <c:pt idx="16">
                  <c:v>16274906.85</c:v>
                </c:pt>
                <c:pt idx="17">
                  <c:v>3079267.8</c:v>
                </c:pt>
                <c:pt idx="18">
                  <c:v>5562864.35</c:v>
                </c:pt>
                <c:pt idx="19">
                  <c:v>17932090.42</c:v>
                </c:pt>
                <c:pt idx="20">
                  <c:v>3024939.19</c:v>
                </c:pt>
                <c:pt idx="21">
                  <c:v>2706417.29</c:v>
                </c:pt>
                <c:pt idx="22">
                  <c:v>7455248.24</c:v>
                </c:pt>
                <c:pt idx="23">
                  <c:v>11510393.37</c:v>
                </c:pt>
                <c:pt idx="24">
                  <c:v>2712012.74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5124645"/>
        <c:axId val="66992811"/>
      </c:barChart>
      <c:catAx>
        <c:axId val="38512464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Country</a:t>
                </a:r>
                <a:endParaRPr b="1">
                  <a:solidFill>
                    <a:srgbClr val="1F4E78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66992811"/>
        <c:crosses val="autoZero"/>
        <c:auto val="1"/>
        <c:lblAlgn val="ctr"/>
        <c:lblOffset val="100"/>
        <c:noMultiLvlLbl val="0"/>
      </c:catAx>
      <c:valAx>
        <c:axId val="6699281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Revenue</a:t>
                </a:r>
                <a:endParaRPr b="1">
                  <a:solidFill>
                    <a:srgbClr val="1F4E78"/>
                  </a:solidFill>
                  <a:latin typeface="+mn-lt"/>
                </a:endParaRPr>
              </a:p>
            </c:rich>
          </c:tx>
          <c:layout/>
          <c:overlay val="0"/>
        </c:title>
        <c:numFmt formatCode="[&gt;999999]0,,&quot;M&quot;;&quot;0M&quot;" sourceLinked="0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385124645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3eb7d89-0388-42b7-a9c5-87e1b5b0b68e}"/>
      </c:ext>
    </c:extLst>
  </c:chart>
  <c:spPr>
    <a:solidFill>
      <a:srgbClr val="CFE2F3"/>
    </a:solidFill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1F4E78"/>
                </a:solidFill>
                <a:latin typeface="+mn-lt"/>
              </a:rPr>
              <a:t>Revenue &amp; Total Cost by Region</a:t>
            </a:r>
            <a:endParaRPr b="1">
              <a:solidFill>
                <a:srgbClr val="1F4E78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0388667992047714"/>
          <c:y val="0.0339228295819936"/>
        </c:manualLayout>
      </c:layout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'Revenue &amp; Total Cost'!$B$1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delete val="1"/>
          </c:dLbls>
          <c:cat>
            <c:strRef>
              <c:f>'Revenue &amp; Total Cost'!$A$2:$A$8</c:f>
              <c:strCache>
                <c:ptCount val="7"/>
                <c:pt idx="0">
                  <c:v>Region</c:v>
                </c:pt>
                <c:pt idx="1">
                  <c:v>Asia</c:v>
                </c:pt>
                <c:pt idx="2">
                  <c:v>Australia and Oceania</c:v>
                </c:pt>
                <c:pt idx="3">
                  <c:v>Central America and the Caribbean</c:v>
                </c:pt>
                <c:pt idx="4">
                  <c:v>Europe</c:v>
                </c:pt>
                <c:pt idx="5">
                  <c:v>Middle East and North Africa</c:v>
                </c:pt>
                <c:pt idx="6">
                  <c:v>North America</c:v>
                </c:pt>
              </c:strCache>
            </c:strRef>
          </c:cat>
          <c:val>
            <c:numRef>
              <c:f>'Revenue &amp; Total Cost'!$B$2:$B$8</c:f>
              <c:numCache>
                <c:formatCode>General</c:formatCode>
                <c:ptCount val="7"/>
                <c:pt idx="0">
                  <c:v>0</c:v>
                </c:pt>
                <c:pt idx="1">
                  <c:v>19664675.65</c:v>
                </c:pt>
                <c:pt idx="2">
                  <c:v>39184380.68</c:v>
                </c:pt>
                <c:pt idx="3">
                  <c:v>40977267.7</c:v>
                </c:pt>
                <c:pt idx="4">
                  <c:v>48278111.23</c:v>
                </c:pt>
                <c:pt idx="5">
                  <c:v>32210906.92</c:v>
                </c:pt>
                <c:pt idx="6">
                  <c:v>13870158.05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5193166"/>
        <c:axId val="593094800"/>
      </c:barChart>
      <c:lineChart>
        <c:grouping val="none"/>
        <c:varyColors val="0"/>
        <c:ser>
          <c:idx val="1"/>
          <c:order val="1"/>
          <c:tx>
            <c:strRef>
              <c:f>'Revenue &amp; Total Cost'!$C$1</c:f>
              <c:strCache>
                <c:ptCount val="1"/>
                <c:pt idx="0">
                  <c:v/>
                </c:pt>
              </c:strCache>
            </c:strRef>
          </c:tx>
          <c:spPr>
            <a:ln w="190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/>
              <c:numFmt formatCode="[&gt;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1"/>
              <c:layout/>
              <c:numFmt formatCode="[&gt;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2"/>
              <c:layout/>
              <c:numFmt formatCode="[&gt;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3"/>
              <c:layout/>
              <c:numFmt formatCode="[&gt;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4"/>
              <c:layout/>
              <c:numFmt formatCode="[&gt;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5"/>
              <c:layout/>
              <c:numFmt formatCode="[&gt;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6"/>
              <c:layout/>
              <c:numFmt formatCode="[&gt;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numFmt formatCode="[&gt;999999]0,,&quot;M&quot;;&quot;0M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'Revenue &amp; Total Cost'!$A$2:$A$8</c:f>
              <c:strCache>
                <c:ptCount val="7"/>
                <c:pt idx="0">
                  <c:v>Region</c:v>
                </c:pt>
                <c:pt idx="1">
                  <c:v>Asia</c:v>
                </c:pt>
                <c:pt idx="2">
                  <c:v>Australia and Oceania</c:v>
                </c:pt>
                <c:pt idx="3">
                  <c:v>Central America and the Caribbean</c:v>
                </c:pt>
                <c:pt idx="4">
                  <c:v>Europe</c:v>
                </c:pt>
                <c:pt idx="5">
                  <c:v>Middle East and North Africa</c:v>
                </c:pt>
                <c:pt idx="6">
                  <c:v>North America</c:v>
                </c:pt>
              </c:strCache>
            </c:strRef>
          </c:cat>
          <c:val>
            <c:numRef>
              <c:f>'Revenue &amp; Total Cost'!$C$2:$C$8</c:f>
              <c:numCache>
                <c:formatCode>General</c:formatCode>
                <c:ptCount val="7"/>
                <c:pt idx="0">
                  <c:v>0</c:v>
                </c:pt>
                <c:pt idx="1">
                  <c:v>13051454.38</c:v>
                </c:pt>
                <c:pt idx="2">
                  <c:v>28104456.01</c:v>
                </c:pt>
                <c:pt idx="3">
                  <c:v>29037440.08</c:v>
                </c:pt>
                <c:pt idx="4">
                  <c:v>32824095.43</c:v>
                </c:pt>
                <c:pt idx="5">
                  <c:v>20155761.94</c:v>
                </c:pt>
                <c:pt idx="6">
                  <c:v>8450209.94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655193166"/>
        <c:axId val="593094800"/>
      </c:lineChart>
      <c:catAx>
        <c:axId val="65519316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Calibri" panose="020F0502020204030204"/>
                  </a:rPr>
                  <a:t>Region</a:t>
                </a:r>
                <a:endParaRPr b="1">
                  <a:solidFill>
                    <a:srgbClr val="1F4E78"/>
                  </a:solidFill>
                  <a:latin typeface="Calibri" panose="020F0502020204030204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593094800"/>
        <c:crosses val="autoZero"/>
        <c:auto val="1"/>
        <c:lblAlgn val="ctr"/>
        <c:lblOffset val="100"/>
        <c:noMultiLvlLbl val="0"/>
      </c:catAx>
      <c:valAx>
        <c:axId val="59309480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Calibri" panose="020F0502020204030204"/>
                  </a:rPr>
                  <a:t>Revenue</a:t>
                </a:r>
                <a:endParaRPr b="1">
                  <a:solidFill>
                    <a:srgbClr val="1F4E78"/>
                  </a:solidFill>
                  <a:latin typeface="Calibri" panose="020F0502020204030204"/>
                </a:endParaRPr>
              </a:p>
            </c:rich>
          </c:tx>
          <c:layout/>
          <c:overlay val="0"/>
        </c:title>
        <c:numFmt formatCode="[&gt;999999]0,,&quot;M&quot;;&quot;0M&quot;" sourceLinked="0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655193166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0ef0915-8778-44c4-9bc8-e7eba31d3712}"/>
      </c:ext>
    </c:extLst>
  </c:chart>
  <c:spPr>
    <a:solidFill>
      <a:srgbClr val="D9EAD3"/>
    </a:solidFill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1F4E78"/>
                </a:solidFill>
                <a:latin typeface="+mn-lt"/>
              </a:rPr>
              <a:t>Revenue by Year and Regions</a:t>
            </a:r>
            <a:endParaRPr b="1">
              <a:solidFill>
                <a:srgbClr val="1F4E78"/>
              </a:solidFill>
              <a:latin typeface="+mn-lt"/>
            </a:endParaRPr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0.151639344262295"/>
          <c:y val="0.211363636363636"/>
          <c:w val="0.83879781420765"/>
          <c:h val="0.55"/>
        </c:manualLayout>
      </c:layout>
      <c:lineChart>
        <c:grouping val="none"/>
        <c:varyColors val="0"/>
        <c:ser>
          <c:idx val="0"/>
          <c:order val="0"/>
          <c:tx>
            <c:strRef>
              <c:f>'Revenue by Year and Regions'!$B$1:$B$2</c:f>
              <c:strCache>
                <c:ptCount val="1"/>
                <c:pt idx="0">
                  <c:v>Region Asia</c:v>
                </c:pt>
              </c:strCache>
            </c:strRef>
          </c:tx>
          <c:spPr>
            <a:ln w="19050" cap="rnd" cmpd="sng" algn="ctr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'Revenue by Year and Regions'!$A$3:$A$10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and Regions'!$B$3:$B$10</c:f>
              <c:numCache>
                <c:formatCode>General</c:formatCode>
                <c:ptCount val="8"/>
                <c:pt idx="0">
                  <c:v>1008858.96</c:v>
                </c:pt>
                <c:pt idx="1">
                  <c:v>1741540.67</c:v>
                </c:pt>
                <c:pt idx="2">
                  <c:v>7857551.39</c:v>
                </c:pt>
                <c:pt idx="3">
                  <c:v>219106.4</c:v>
                </c:pt>
                <c:pt idx="4">
                  <c:v>1562801.62</c:v>
                </c:pt>
                <c:pt idx="5">
                  <c:v>4265972.18</c:v>
                </c:pt>
                <c:pt idx="6">
                  <c:v>137177.95</c:v>
                </c:pt>
                <c:pt idx="7">
                  <c:v>2871666.48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'Revenue by Year and Regions'!$C$1:$C$2</c:f>
              <c:strCache>
                <c:ptCount val="1"/>
                <c:pt idx="0">
                  <c:v>Region Australia and Oceania</c:v>
                </c:pt>
              </c:strCache>
            </c:strRef>
          </c:tx>
          <c:spPr>
            <a:ln w="19050" cap="rnd" cmpd="sng" algn="ctr">
              <a:solidFill>
                <a:srgbClr val="C0504D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'Revenue by Year and Regions'!$A$3:$A$10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and Regions'!$C$3:$C$10</c:f>
              <c:numCache>
                <c:formatCode>General</c:formatCode>
                <c:ptCount val="8"/>
                <c:pt idx="0">
                  <c:v>7677418.11</c:v>
                </c:pt>
                <c:pt idx="1">
                  <c:v>10943964.55</c:v>
                </c:pt>
                <c:pt idx="2">
                  <c:v>963571.85</c:v>
                </c:pt>
                <c:pt idx="3">
                  <c:v>720155.2</c:v>
                </c:pt>
                <c:pt idx="4">
                  <c:v>1999714.02</c:v>
                </c:pt>
                <c:pt idx="5">
                  <c:v>4593777.82</c:v>
                </c:pt>
                <c:pt idx="6">
                  <c:v>3059244.57</c:v>
                </c:pt>
                <c:pt idx="7">
                  <c:v>9226534.56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'Revenue by Year and Regions'!$D$1:$D$2</c:f>
              <c:strCache>
                <c:ptCount val="1"/>
                <c:pt idx="0">
                  <c:v>Region Central America and the Caribbean</c:v>
                </c:pt>
              </c:strCache>
            </c:strRef>
          </c:tx>
          <c:spPr>
            <a:ln w="19050" cap="rnd" cmpd="sng" algn="ctr">
              <a:solidFill>
                <a:srgbClr val="9BBB59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'Revenue by Year and Regions'!$A$3:$A$10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and Regions'!$D$3:$D$10</c:f>
              <c:numCache>
                <c:formatCode>General</c:formatCode>
                <c:ptCount val="8"/>
                <c:pt idx="0">
                  <c:v>4628648.76</c:v>
                </c:pt>
                <c:pt idx="1">
                  <c:v>9736649.16</c:v>
                </c:pt>
                <c:pt idx="2">
                  <c:v>1192650.94</c:v>
                </c:pt>
                <c:pt idx="3">
                  <c:v>8444932.68</c:v>
                </c:pt>
                <c:pt idx="4">
                  <c:v>1919079.36</c:v>
                </c:pt>
                <c:pt idx="5">
                  <c:v>8880199.51</c:v>
                </c:pt>
                <c:pt idx="6">
                  <c:v>141531.17</c:v>
                </c:pt>
                <c:pt idx="7">
                  <c:v>6033576.12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'Revenue by Year and Regions'!$E$1:$E$2</c:f>
              <c:strCache>
                <c:ptCount val="1"/>
                <c:pt idx="0">
                  <c:v>Region Europe</c:v>
                </c:pt>
              </c:strCache>
            </c:strRef>
          </c:tx>
          <c:spPr>
            <a:ln w="19050" cap="rnd" cmpd="sng" algn="ctr">
              <a:solidFill>
                <a:srgbClr val="8064A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'Revenue by Year and Regions'!$A$3:$A$10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and Regions'!$E$3:$E$10</c:f>
              <c:numCache>
                <c:formatCode>General</c:formatCode>
                <c:ptCount val="8"/>
                <c:pt idx="0">
                  <c:v>10692367.2</c:v>
                </c:pt>
                <c:pt idx="1">
                  <c:v>2204362.4</c:v>
                </c:pt>
                <c:pt idx="2">
                  <c:v>5507135.68</c:v>
                </c:pt>
                <c:pt idx="3">
                  <c:v>728164.82</c:v>
                </c:pt>
                <c:pt idx="4">
                  <c:v>747489.42</c:v>
                </c:pt>
                <c:pt idx="5">
                  <c:v>7670080.26</c:v>
                </c:pt>
                <c:pt idx="6">
                  <c:v>5885826.26</c:v>
                </c:pt>
                <c:pt idx="7">
                  <c:v>14842685.19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'Revenue by Year and Regions'!$F$1:$F$2</c:f>
              <c:strCache>
                <c:ptCount val="1"/>
                <c:pt idx="0">
                  <c:v>Region Middle East and North Africa</c:v>
                </c:pt>
              </c:strCache>
            </c:strRef>
          </c:tx>
          <c:spPr>
            <a:ln w="19050" cap="rnd" cmpd="sng" algn="ctr">
              <a:solidFill>
                <a:srgbClr val="4BACC6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'Revenue by Year and Regions'!$A$3:$A$10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and Regions'!$F$3:$F$10</c:f>
              <c:numCache>
                <c:formatCode>General</c:formatCode>
                <c:ptCount val="8"/>
                <c:pt idx="0">
                  <c:v>730755.36</c:v>
                </c:pt>
                <c:pt idx="1">
                  <c:v>3228207.41</c:v>
                </c:pt>
                <c:pt idx="2">
                  <c:v>1438462.14</c:v>
                </c:pt>
                <c:pt idx="3">
                  <c:v>1644132.92</c:v>
                </c:pt>
                <c:pt idx="4">
                  <c:v>9641432.78</c:v>
                </c:pt>
                <c:pt idx="5">
                  <c:v>3895038.86</c:v>
                </c:pt>
                <c:pt idx="6">
                  <c:v>1215132.8</c:v>
                </c:pt>
                <c:pt idx="7">
                  <c:v>10417744.65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'Revenue by Year and Regions'!$G$1:$G$2</c:f>
              <c:strCache>
                <c:ptCount val="1"/>
                <c:pt idx="0">
                  <c:v>Region North America</c:v>
                </c:pt>
              </c:strCache>
            </c:strRef>
          </c:tx>
          <c:spPr>
            <a:ln w="19050" cap="rnd" cmpd="sng" algn="ctr">
              <a:solidFill>
                <a:srgbClr val="F79646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'Revenue by Year and Regions'!$A$3:$A$10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and Regions'!$G$3:$G$10</c:f>
              <c:numCache>
                <c:formatCode>General</c:formatCode>
                <c:ptCount val="8"/>
                <c:pt idx="0">
                  <c:v>2706300.8</c:v>
                </c:pt>
                <c:pt idx="1">
                  <c:v>185488.24</c:v>
                </c:pt>
                <c:pt idx="2">
                  <c:v>2230872.18</c:v>
                </c:pt>
                <c:pt idx="3">
                  <c:v>1422655.92</c:v>
                </c:pt>
                <c:pt idx="5">
                  <c:v>1025157.19</c:v>
                </c:pt>
                <c:pt idx="6">
                  <c:v>5184470.68</c:v>
                </c:pt>
                <c:pt idx="7">
                  <c:v>1115213.04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'Revenue by Year and Regions'!$H$1:$H$2</c:f>
              <c:strCache>
                <c:ptCount val="1"/>
                <c:pt idx="0">
                  <c:v>Region Sub-Saharan Africa</c:v>
                </c:pt>
              </c:strCache>
            </c:strRef>
          </c:tx>
          <c:spPr>
            <a:ln w="19050" cap="rnd" cmpd="sng" algn="ctr">
              <a:solidFill>
                <a:srgbClr val="84A7D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'Revenue by Year and Regions'!$A$3:$A$10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and Regions'!$H$3:$H$10</c:f>
              <c:numCache>
                <c:formatCode>General</c:formatCode>
                <c:ptCount val="8"/>
                <c:pt idx="0">
                  <c:v>1912792.16</c:v>
                </c:pt>
                <c:pt idx="1">
                  <c:v>14214085.65</c:v>
                </c:pt>
                <c:pt idx="2">
                  <c:v>951936.74</c:v>
                </c:pt>
                <c:pt idx="3">
                  <c:v>7055998.33</c:v>
                </c:pt>
                <c:pt idx="4">
                  <c:v>7423063.18</c:v>
                </c:pt>
                <c:pt idx="5">
                  <c:v>81935.46</c:v>
                </c:pt>
                <c:pt idx="6">
                  <c:v>1970237.58</c:v>
                </c:pt>
                <c:pt idx="7">
                  <c:v>3452419.79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506657855"/>
        <c:axId val="1855542733"/>
      </c:lineChart>
      <c:catAx>
        <c:axId val="150665785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855542733"/>
        <c:crosses val="autoZero"/>
        <c:auto val="1"/>
        <c:lblAlgn val="ctr"/>
        <c:lblOffset val="100"/>
        <c:noMultiLvlLbl val="0"/>
      </c:catAx>
      <c:valAx>
        <c:axId val="185554273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Revenue</a:t>
                </a:r>
                <a:endParaRPr b="1">
                  <a:solidFill>
                    <a:srgbClr val="1F4E78"/>
                  </a:solidFill>
                  <a:latin typeface="+mn-lt"/>
                </a:endParaRPr>
              </a:p>
            </c:rich>
          </c:tx>
          <c:layout/>
          <c:overlay val="0"/>
        </c:title>
        <c:numFmt formatCode="[&gt;999999]0,,&quot;M&quot;;&quot;0M&quot;" sourceLinked="0"/>
        <c:majorTickMark val="none"/>
        <c:minorTickMark val="none"/>
        <c:tickLblPos val="nextTo"/>
        <c:spPr>
          <a:ln w="6350" cap="flat" cmpd="sng" algn="ctr">
            <a:solidFill>
              <a:srgbClr val="FFFF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50665785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e683cc8-3e9a-426e-b27f-cf385f321cac}"/>
      </c:ext>
    </c:extLst>
  </c:chart>
  <c:spPr>
    <a:solidFill>
      <a:srgbClr val="CFE2F3"/>
    </a:solidFill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1F4E78"/>
                </a:solidFill>
                <a:latin typeface="+mn-lt"/>
              </a:rPr>
              <a:t>Total Revenue by Year</a:t>
            </a:r>
            <a:endParaRPr b="1">
              <a:solidFill>
                <a:srgbClr val="1F4E78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tx>
            <c:strRef>
              <c:f>'Revenue by Year'!$B$1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ln w="19050" cap="rnd" cmpd="sng" algn="ctr">
              <a:solidFill>
                <a:srgbClr val="38761D">
                  <a:alpha val="100000"/>
                </a:srgbClr>
              </a:solidFill>
              <a:prstDash val="solid"/>
              <a:round/>
            </a:ln>
          </c:spPr>
          <c:marker>
            <c:symbol val="circle"/>
            <c:size val="2"/>
            <c:spPr>
              <a:solidFill>
                <a:srgbClr val="38761D">
                  <a:alpha val="100000"/>
                </a:srgbClr>
              </a:solidFill>
              <a:ln w="6350" cap="flat" cmpd="sng" algn="ctr">
                <a:solidFill>
                  <a:srgbClr val="38761D">
                    <a:alpha val="100000"/>
                  </a:srgbClr>
                </a:solidFill>
                <a:prstDash val="solid"/>
                <a:round/>
              </a:ln>
            </c:spPr>
          </c:marker>
          <c:dPt>
            <c:idx val="5"/>
            <c:marker>
              <c:symbol val="none"/>
            </c:marker>
            <c:bubble3D val="0"/>
          </c:dPt>
          <c:dPt>
            <c:idx val="6"/>
            <c:marker>
              <c:symbol val="none"/>
            </c:marker>
            <c:bubble3D val="0"/>
          </c:dPt>
          <c:dLbls>
            <c:numFmt formatCode="[&gt;999999]0,,&quot;M&quot;;&quot;0M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'Revenue by Year'!$A$2:$A$9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Year'!$B$2:$B$9</c:f>
              <c:numCache>
                <c:formatCode>General</c:formatCode>
                <c:ptCount val="8"/>
                <c:pt idx="0">
                  <c:v>29357141.35</c:v>
                </c:pt>
                <c:pt idx="1">
                  <c:v>42254298.08</c:v>
                </c:pt>
                <c:pt idx="2">
                  <c:v>20142180.92</c:v>
                </c:pt>
                <c:pt idx="3">
                  <c:v>20235146.27</c:v>
                </c:pt>
                <c:pt idx="4">
                  <c:v>23293580.38</c:v>
                </c:pt>
                <c:pt idx="5">
                  <c:v>30412161.28</c:v>
                </c:pt>
                <c:pt idx="6">
                  <c:v>17593621.01</c:v>
                </c:pt>
                <c:pt idx="7">
                  <c:v>47959839.83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297061"/>
        <c:axId val="402139674"/>
      </c:lineChart>
      <c:catAx>
        <c:axId val="18429706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402139674"/>
        <c:crosses val="autoZero"/>
        <c:auto val="1"/>
        <c:lblAlgn val="ctr"/>
        <c:lblOffset val="100"/>
        <c:noMultiLvlLbl val="0"/>
      </c:catAx>
      <c:valAx>
        <c:axId val="40213967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Revenue</a:t>
                </a:r>
                <a:endParaRPr b="1">
                  <a:solidFill>
                    <a:srgbClr val="1F4E78"/>
                  </a:solidFill>
                  <a:latin typeface="+mn-lt"/>
                </a:endParaRPr>
              </a:p>
            </c:rich>
          </c:tx>
          <c:layout/>
          <c:overlay val="0"/>
        </c:title>
        <c:numFmt formatCode="[&gt;999999]0,,&quot;M&quot;;&quot;0M&quot;" sourceLinked="0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8429706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b15f0a9-fc6b-44c2-9c81-f0293acf8b87}"/>
      </c:ext>
    </c:extLst>
  </c:chart>
  <c:spPr>
    <a:solidFill>
      <a:srgbClr val="CFE2F3"/>
    </a:solidFill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sz="1400" b="1">
                <a:solidFill>
                  <a:srgbClr val="1F4E78"/>
                </a:solidFill>
                <a:latin typeface="+mn-lt"/>
              </a:rPr>
              <a:t>Revenue by Item</a:t>
            </a:r>
            <a:endParaRPr sz="1400" b="1">
              <a:solidFill>
                <a:srgbClr val="1F4E78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382931742651383"/>
          <c:y val="0.0078740157480315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2850018245955"/>
          <c:y val="0.0939280762074551"/>
          <c:w val="0.797644142536705"/>
          <c:h val="0.711590296495957"/>
        </c:manualLayout>
      </c:layout>
      <c:barChart>
        <c:barDir val="bar"/>
        <c:grouping val="none"/>
        <c:varyColors val="0"/>
        <c:ser>
          <c:idx val="0"/>
          <c:order val="0"/>
          <c:tx>
            <c:strRef>
              <c:f>'Rev by Items'!$B$1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9525" cmpd="sng">
              <a:noFill/>
            </a:ln>
          </c:spPr>
          <c:invertIfNegative val="0"/>
          <c:dLbls>
            <c:numFmt formatCode="[&gt;9999999]0,,&quot;M&quot;;&quot;0M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ln w="28575" cmpd="sng">
                      <a:noFill/>
                      <a:prstDash val="solid"/>
                    </a:ln>
                    <a:solidFill>
                      <a:schemeClr val="tx1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'Rev by Items'!$A$2:$A$11</c:f>
              <c:strCache>
                <c:ptCount val="10"/>
                <c:pt idx="0">
                  <c:v>Baby Food</c:v>
                </c:pt>
                <c:pt idx="1">
                  <c:v>Beverages</c:v>
                </c:pt>
                <c:pt idx="2">
                  <c:v>Cereal</c:v>
                </c:pt>
                <c:pt idx="3">
                  <c:v>Clothes</c:v>
                </c:pt>
                <c:pt idx="4">
                  <c:v>Cosmetics</c:v>
                </c:pt>
                <c:pt idx="5">
                  <c:v>Fruits</c:v>
                </c:pt>
                <c:pt idx="6">
                  <c:v>Household</c:v>
                </c:pt>
                <c:pt idx="7">
                  <c:v>Office Supplies</c:v>
                </c:pt>
                <c:pt idx="8">
                  <c:v>Snacks</c:v>
                </c:pt>
                <c:pt idx="9">
                  <c:v>Vegetables</c:v>
                </c:pt>
              </c:strCache>
            </c:strRef>
          </c:cat>
          <c:val>
            <c:numRef>
              <c:f>'Rev by Items'!$B$2:$B$11</c:f>
              <c:numCache>
                <c:formatCode>General</c:formatCode>
                <c:ptCount val="10"/>
                <c:pt idx="0">
                  <c:v>19500839.2</c:v>
                </c:pt>
                <c:pt idx="1">
                  <c:v>4627371.45</c:v>
                </c:pt>
                <c:pt idx="2">
                  <c:v>13177142</c:v>
                </c:pt>
                <c:pt idx="3">
                  <c:v>8368116</c:v>
                </c:pt>
                <c:pt idx="4">
                  <c:v>39036276.4</c:v>
                </c:pt>
                <c:pt idx="5">
                  <c:v>590589</c:v>
                </c:pt>
                <c:pt idx="6">
                  <c:v>78446210.49</c:v>
                </c:pt>
                <c:pt idx="7">
                  <c:v>43287231.12</c:v>
                </c:pt>
                <c:pt idx="8">
                  <c:v>14059636.68</c:v>
                </c:pt>
                <c:pt idx="9">
                  <c:v>10154556.78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71094373"/>
        <c:axId val="672034747"/>
      </c:barChart>
      <c:catAx>
        <c:axId val="771094373"/>
        <c:scaling>
          <c:orientation val="maxMin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Item</a:t>
                </a:r>
                <a:endParaRPr b="1">
                  <a:solidFill>
                    <a:srgbClr val="1F4E78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672034747"/>
        <c:crosses val="autoZero"/>
        <c:auto val="1"/>
        <c:lblAlgn val="ctr"/>
        <c:lblOffset val="100"/>
        <c:noMultiLvlLbl val="0"/>
      </c:catAx>
      <c:valAx>
        <c:axId val="67203474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Revenue</a:t>
                </a:r>
                <a:endParaRPr b="1">
                  <a:solidFill>
                    <a:srgbClr val="1F4E78"/>
                  </a:solidFill>
                  <a:latin typeface="+mn-lt"/>
                </a:endParaRPr>
              </a:p>
            </c:rich>
          </c:tx>
          <c:layout/>
          <c:overlay val="0"/>
        </c:title>
        <c:numFmt formatCode="[&gt;999999]0,,&quot;M&quot;;&quot;0M&quot;" sourceLinked="0"/>
        <c:majorTickMark val="none"/>
        <c:minorTickMark val="none"/>
        <c:tickLblPos val="nextTo"/>
        <c:spPr>
          <a:ln w="6350" cap="flat" cmpd="sng" algn="ctr">
            <a:solidFill>
              <a:srgbClr val="FFFF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771094373"/>
        <c:crosses val="max"/>
        <c:crossBetween val="between"/>
      </c:valAx>
      <c:spPr>
        <a:solidFill>
          <a:schemeClr val="bg2"/>
        </a:solidFill>
      </c:spPr>
    </c:plotArea>
    <c:plotVisOnly val="1"/>
    <c:dispBlanksAs val="gap"/>
    <c:showDLblsOverMax val="0"/>
    <c:extLst>
      <c:ext uri="{0b15fc19-7d7d-44ad-8c2d-2c3a37ce22c3}">
        <chartProps xmlns="https://web.wps.cn/et/2018/main" chartId="{96420fc8-83b5-4443-bcb7-76966b918070}"/>
      </c:ext>
    </c:extLst>
  </c:chart>
  <c:spPr>
    <a:solidFill>
      <a:schemeClr val="accent1">
        <a:lumMod val="20000"/>
        <a:lumOff val="80000"/>
      </a:schemeClr>
    </a:solidFill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1F4E78"/>
                </a:solidFill>
                <a:latin typeface="+mn-lt"/>
              </a:rPr>
              <a:t>Revenue by Order Priority</a:t>
            </a:r>
            <a:endParaRPr b="1">
              <a:solidFill>
                <a:srgbClr val="1F4E78"/>
              </a:solidFill>
              <a:latin typeface="+mn-lt"/>
            </a:endParaRPr>
          </a:p>
        </c:rich>
      </c:tx>
      <c:layout/>
      <c:overlay val="0"/>
    </c:title>
    <c:autoTitleDeleted val="0"/>
    <c:view3D>
      <c:rotX val="50"/>
      <c:rotY val="0"/>
      <c:depthPercent val="10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0.035180055401662"/>
          <c:y val="0.163385826771654"/>
          <c:w val="0.929639889196676"/>
          <c:h val="0.786614173228346"/>
        </c:manualLayout>
      </c:layout>
      <c:pie3DChart>
        <c:varyColors val="1"/>
        <c:ser>
          <c:idx val="0"/>
          <c:order val="0"/>
          <c:tx>
            <c:strRef>
              <c:f>'Revenue by OP'!$B$1</c:f>
              <c:strCache>
                <c:ptCount val="1"/>
                <c:pt idx="0">
                  <c:v>SUM of Total Revenue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rgbClr val="93C47D"/>
              </a:solidFill>
            </c:spPr>
          </c:dPt>
          <c:dPt>
            <c:idx val="1"/>
            <c:bubble3D val="0"/>
            <c:spPr>
              <a:solidFill>
                <a:srgbClr val="38761D"/>
              </a:solidFill>
            </c:spPr>
          </c:dPt>
          <c:dPt>
            <c:idx val="2"/>
            <c:bubble3D val="0"/>
            <c:spPr>
              <a:solidFill>
                <a:srgbClr val="134F5C"/>
              </a:solidFill>
            </c:spPr>
          </c:dPt>
          <c:dPt>
            <c:idx val="3"/>
            <c:bubble3D val="0"/>
            <c:spPr>
              <a:solidFill>
                <a:srgbClr val="76A5AF"/>
              </a:solidFill>
            </c:spPr>
          </c:dPt>
          <c:dPt>
            <c:idx val="4"/>
            <c:bubble3D val="0"/>
            <c:spPr>
              <a:solidFill>
                <a:srgbClr val="D9EAD3"/>
              </a:solidFill>
            </c:spPr>
          </c:dPt>
          <c:dLbls>
            <c:dLbl>
              <c:idx val="0"/>
              <c:layout/>
              <c:numFmt formatCode="[&gt;9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[&gt;9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[&gt;9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[&gt;9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[&gt;9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[&gt;9999999]0,,&quot;M&quot;;&quot;0M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'Revenue by OP'!$A$2:$A$6</c:f>
              <c:strCache>
                <c:ptCount val="5"/>
                <c:pt idx="0">
                  <c:v>C</c:v>
                </c:pt>
                <c:pt idx="1">
                  <c:v>H</c:v>
                </c:pt>
                <c:pt idx="2">
                  <c:v>L</c:v>
                </c:pt>
                <c:pt idx="3">
                  <c:v>M</c:v>
                </c:pt>
                <c:pt idx="4">
                  <c:v>Grand Total</c:v>
                </c:pt>
              </c:strCache>
            </c:strRef>
          </c:cat>
          <c:val>
            <c:numRef>
              <c:f>'Revenue by OP'!$B$2:$B$6</c:f>
              <c:numCache>
                <c:formatCode>General</c:formatCode>
                <c:ptCount val="5"/>
                <c:pt idx="0">
                  <c:v>56597818.24</c:v>
                </c:pt>
                <c:pt idx="1">
                  <c:v>56968622.72</c:v>
                </c:pt>
                <c:pt idx="2">
                  <c:v>63186288.9</c:v>
                </c:pt>
                <c:pt idx="3">
                  <c:v>54495239.26</c:v>
                </c:pt>
                <c:pt idx="4">
                  <c:v>231247969.12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</c:plotArea>
    <c:plotVisOnly val="1"/>
    <c:dispBlanksAs val="gap"/>
    <c:showDLblsOverMax val="0"/>
    <c:extLst>
      <c:ext uri="{0b15fc19-7d7d-44ad-8c2d-2c3a37ce22c3}">
        <chartProps xmlns="https://web.wps.cn/et/2018/main" chartId="{85eeb898-ccb8-41da-bdcd-643fc5bc94e8}"/>
      </c:ext>
    </c:extLst>
  </c:chart>
  <c:txPr>
    <a:bodyPr/>
    <a:lstStyle/>
    <a:p>
      <a:pPr>
        <a:defRPr lang="en-US"/>
      </a:pPr>
    </a:p>
  </c:txPr>
  <c:externalData r:id="rId1">
    <c:autoUpdate val="0"/>
  </c:externalData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1F4E78"/>
                </a:solidFill>
                <a:latin typeface="+mn-lt"/>
              </a:rPr>
              <a:t>Revenue by Countries</a:t>
            </a:r>
            <a:endParaRPr b="1">
              <a:solidFill>
                <a:srgbClr val="1F4E78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'Revenue by Countries'!$B$1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 cmpd="sng">
              <a:noFill/>
            </a:ln>
          </c:spPr>
          <c:invertIfNegative val="0"/>
          <c:dLbls>
            <c:delete val="1"/>
          </c:dLbls>
          <c:cat>
            <c:strRef>
              <c:f>'Revenue by Countries'!$A$2:$A$26</c:f>
              <c:strCache>
                <c:ptCount val="25"/>
                <c:pt idx="0">
                  <c:v>Armenia</c:v>
                </c:pt>
                <c:pt idx="1">
                  <c:v>Australia</c:v>
                </c:pt>
                <c:pt idx="2">
                  <c:v>Bulgaria</c:v>
                </c:pt>
                <c:pt idx="3">
                  <c:v>Canada</c:v>
                </c:pt>
                <c:pt idx="4">
                  <c:v>Cape Verde</c:v>
                </c:pt>
                <c:pt idx="5">
                  <c:v>Chad</c:v>
                </c:pt>
                <c:pt idx="6">
                  <c:v>Egypt</c:v>
                </c:pt>
                <c:pt idx="7">
                  <c:v>Eritrea</c:v>
                </c:pt>
                <c:pt idx="8">
                  <c:v>Estonia</c:v>
                </c:pt>
                <c:pt idx="9">
                  <c:v>Federated States of Micronesia</c:v>
                </c:pt>
                <c:pt idx="10">
                  <c:v>Fiji</c:v>
                </c:pt>
                <c:pt idx="11">
                  <c:v>Greece</c:v>
                </c:pt>
                <c:pt idx="12">
                  <c:v>Greenland</c:v>
                </c:pt>
                <c:pt idx="13">
                  <c:v>India</c:v>
                </c:pt>
                <c:pt idx="14">
                  <c:v>Jamaica</c:v>
                </c:pt>
                <c:pt idx="15">
                  <c:v>Japan</c:v>
                </c:pt>
                <c:pt idx="16">
                  <c:v>Libya</c:v>
                </c:pt>
                <c:pt idx="17">
                  <c:v>Maldives</c:v>
                </c:pt>
                <c:pt idx="18">
                  <c:v>Montenegro</c:v>
                </c:pt>
                <c:pt idx="19">
                  <c:v>Panama</c:v>
                </c:pt>
                <c:pt idx="20">
                  <c:v>Saudi Arabia</c:v>
                </c:pt>
                <c:pt idx="21">
                  <c:v>Senegal</c:v>
                </c:pt>
                <c:pt idx="22">
                  <c:v>Sudan</c:v>
                </c:pt>
                <c:pt idx="23">
                  <c:v>UK</c:v>
                </c:pt>
                <c:pt idx="24">
                  <c:v>USA</c:v>
                </c:pt>
              </c:strCache>
            </c:strRef>
          </c:cat>
          <c:val>
            <c:numRef>
              <c:f>'Revenue by Countries'!$B$2:$B$26</c:f>
              <c:numCache>
                <c:formatCode>General</c:formatCode>
                <c:ptCount val="25"/>
                <c:pt idx="0">
                  <c:v>8116328.29</c:v>
                </c:pt>
                <c:pt idx="1">
                  <c:v>10454132.91</c:v>
                </c:pt>
                <c:pt idx="2">
                  <c:v>970412.5</c:v>
                </c:pt>
                <c:pt idx="3">
                  <c:v>5132901.16</c:v>
                </c:pt>
                <c:pt idx="4">
                  <c:v>16909681.06</c:v>
                </c:pt>
                <c:pt idx="5">
                  <c:v>1496250.3</c:v>
                </c:pt>
                <c:pt idx="6">
                  <c:v>12911060.88</c:v>
                </c:pt>
                <c:pt idx="7">
                  <c:v>8494872</c:v>
                </c:pt>
                <c:pt idx="8">
                  <c:v>11882462.09</c:v>
                </c:pt>
                <c:pt idx="9">
                  <c:v>9067818.65</c:v>
                </c:pt>
                <c:pt idx="10">
                  <c:v>19662429.12</c:v>
                </c:pt>
                <c:pt idx="11">
                  <c:v>10235650.63</c:v>
                </c:pt>
                <c:pt idx="12">
                  <c:v>6025244.15</c:v>
                </c:pt>
                <c:pt idx="13">
                  <c:v>11361369.48</c:v>
                </c:pt>
                <c:pt idx="14">
                  <c:v>23045177.28</c:v>
                </c:pt>
                <c:pt idx="15">
                  <c:v>5224038.37</c:v>
                </c:pt>
                <c:pt idx="16">
                  <c:v>16274906.85</c:v>
                </c:pt>
                <c:pt idx="17">
                  <c:v>3079267.8</c:v>
                </c:pt>
                <c:pt idx="18">
                  <c:v>5562864.35</c:v>
                </c:pt>
                <c:pt idx="19">
                  <c:v>17932090.42</c:v>
                </c:pt>
                <c:pt idx="20">
                  <c:v>3024939.19</c:v>
                </c:pt>
                <c:pt idx="21">
                  <c:v>2706417.29</c:v>
                </c:pt>
                <c:pt idx="22">
                  <c:v>7455248.24</c:v>
                </c:pt>
                <c:pt idx="23">
                  <c:v>11510393.37</c:v>
                </c:pt>
                <c:pt idx="24">
                  <c:v>2712012.74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2306567"/>
        <c:axId val="408442548"/>
      </c:barChart>
      <c:catAx>
        <c:axId val="80230656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Country</a:t>
                </a:r>
                <a:endParaRPr b="1">
                  <a:solidFill>
                    <a:srgbClr val="1F4E78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08442548"/>
        <c:crosses val="autoZero"/>
        <c:auto val="1"/>
        <c:lblAlgn val="ctr"/>
        <c:lblOffset val="100"/>
        <c:noMultiLvlLbl val="0"/>
      </c:catAx>
      <c:valAx>
        <c:axId val="408442548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Revenue</a:t>
                </a:r>
                <a:endParaRPr b="1">
                  <a:solidFill>
                    <a:srgbClr val="1F4E78"/>
                  </a:solidFill>
                  <a:latin typeface="+mn-lt"/>
                </a:endParaRPr>
              </a:p>
            </c:rich>
          </c:tx>
          <c:layout/>
          <c:overlay val="0"/>
        </c:title>
        <c:numFmt formatCode="[&gt;999999]0,,&quot;M&quot;;&quot;0M&quot;" sourceLinked="0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80230656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4933f1e-ac26-4b25-a514-6ed74b0fe3ee}"/>
      </c:ext>
    </c:extLst>
  </c:chart>
  <c:spPr>
    <a:solidFill>
      <a:schemeClr val="accent3">
        <a:lumMod val="40000"/>
        <a:lumOff val="60000"/>
      </a:schemeClr>
    </a:solidFill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1F4E78"/>
                </a:solidFill>
                <a:latin typeface="+mn-lt"/>
              </a:rPr>
              <a:t>Revenue &amp; Total Cost by Region</a:t>
            </a:r>
            <a:endParaRPr b="1">
              <a:solidFill>
                <a:srgbClr val="1F4E78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0388667992047714"/>
          <c:y val="0.0339228295819936"/>
        </c:manualLayout>
      </c:layout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'Revenue &amp; Total Cost'!$B$1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 cmpd="sng">
              <a:noFill/>
            </a:ln>
          </c:spPr>
          <c:invertIfNegative val="0"/>
          <c:dLbls>
            <c:delete val="1"/>
          </c:dLbls>
          <c:cat>
            <c:strRef>
              <c:f>'Revenue &amp; Total Cost'!$A$2:$A$8</c:f>
              <c:strCache>
                <c:ptCount val="7"/>
                <c:pt idx="0">
                  <c:v>Region</c:v>
                </c:pt>
                <c:pt idx="1">
                  <c:v>Asia</c:v>
                </c:pt>
                <c:pt idx="2">
                  <c:v>Australia and Oceania</c:v>
                </c:pt>
                <c:pt idx="3">
                  <c:v>Central America and the Caribbean</c:v>
                </c:pt>
                <c:pt idx="4">
                  <c:v>Europe</c:v>
                </c:pt>
                <c:pt idx="5">
                  <c:v>Middle East and North Africa</c:v>
                </c:pt>
                <c:pt idx="6">
                  <c:v>North America</c:v>
                </c:pt>
              </c:strCache>
            </c:strRef>
          </c:cat>
          <c:val>
            <c:numRef>
              <c:f>'Revenue &amp; Total Cost'!$B$2:$B$8</c:f>
              <c:numCache>
                <c:formatCode>General</c:formatCode>
                <c:ptCount val="7"/>
                <c:pt idx="0">
                  <c:v>0</c:v>
                </c:pt>
                <c:pt idx="1">
                  <c:v>19664675.65</c:v>
                </c:pt>
                <c:pt idx="2">
                  <c:v>39184380.68</c:v>
                </c:pt>
                <c:pt idx="3">
                  <c:v>40977267.7</c:v>
                </c:pt>
                <c:pt idx="4">
                  <c:v>48278111.23</c:v>
                </c:pt>
                <c:pt idx="5">
                  <c:v>32210906.92</c:v>
                </c:pt>
                <c:pt idx="6">
                  <c:v>13870158.05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8546574"/>
        <c:axId val="2042731710"/>
      </c:barChart>
      <c:lineChart>
        <c:grouping val="none"/>
        <c:varyColors val="0"/>
        <c:ser>
          <c:idx val="1"/>
          <c:order val="1"/>
          <c:tx>
            <c:strRef>
              <c:f>'Revenue &amp; Total Cost'!$C$1</c:f>
              <c:strCache>
                <c:ptCount val="1"/>
                <c:pt idx="0">
                  <c:v/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/>
              <c:numFmt formatCode="[&gt;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[&gt;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[&gt;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[&gt;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[&gt;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[&gt;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numFmt formatCode="[&gt;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[&gt;999999]0,,&quot;M&quot;;&quot;0M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'Revenue &amp; Total Cost'!$A$2:$A$8</c:f>
              <c:strCache>
                <c:ptCount val="7"/>
                <c:pt idx="0">
                  <c:v>Region</c:v>
                </c:pt>
                <c:pt idx="1">
                  <c:v>Asia</c:v>
                </c:pt>
                <c:pt idx="2">
                  <c:v>Australia and Oceania</c:v>
                </c:pt>
                <c:pt idx="3">
                  <c:v>Central America and the Caribbean</c:v>
                </c:pt>
                <c:pt idx="4">
                  <c:v>Europe</c:v>
                </c:pt>
                <c:pt idx="5">
                  <c:v>Middle East and North Africa</c:v>
                </c:pt>
                <c:pt idx="6">
                  <c:v>North America</c:v>
                </c:pt>
              </c:strCache>
            </c:strRef>
          </c:cat>
          <c:val>
            <c:numRef>
              <c:f>'Revenue &amp; Total Cost'!$C$2:$C$8</c:f>
              <c:numCache>
                <c:formatCode>General</c:formatCode>
                <c:ptCount val="7"/>
                <c:pt idx="0">
                  <c:v>0</c:v>
                </c:pt>
                <c:pt idx="1">
                  <c:v>13051454.38</c:v>
                </c:pt>
                <c:pt idx="2">
                  <c:v>28104456.01</c:v>
                </c:pt>
                <c:pt idx="3">
                  <c:v>29037440.08</c:v>
                </c:pt>
                <c:pt idx="4">
                  <c:v>32824095.43</c:v>
                </c:pt>
                <c:pt idx="5">
                  <c:v>20155761.94</c:v>
                </c:pt>
                <c:pt idx="6">
                  <c:v>8450209.94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328546574"/>
        <c:axId val="2042731710"/>
      </c:lineChart>
      <c:catAx>
        <c:axId val="132854657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Calibri" panose="020F0502020204030204"/>
                  </a:rPr>
                  <a:t>Region</a:t>
                </a:r>
                <a:endParaRPr b="1">
                  <a:solidFill>
                    <a:srgbClr val="1F4E78"/>
                  </a:solidFill>
                  <a:latin typeface="Calibri" panose="020F0502020204030204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042731710"/>
        <c:crosses val="autoZero"/>
        <c:auto val="1"/>
        <c:lblAlgn val="ctr"/>
        <c:lblOffset val="100"/>
        <c:noMultiLvlLbl val="0"/>
      </c:catAx>
      <c:valAx>
        <c:axId val="20427317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Calibri" panose="020F0502020204030204"/>
                  </a:rPr>
                  <a:t>Revenue</a:t>
                </a:r>
                <a:endParaRPr b="1">
                  <a:solidFill>
                    <a:srgbClr val="1F4E78"/>
                  </a:solidFill>
                  <a:latin typeface="Calibri" panose="020F0502020204030204"/>
                </a:endParaRPr>
              </a:p>
            </c:rich>
          </c:tx>
          <c:layout/>
          <c:overlay val="0"/>
        </c:title>
        <c:numFmt formatCode="[&gt;999999]0,,&quot;M&quot;;&quot;0M&quot;" sourceLinked="0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328546574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367b4db-a49a-4470-ba0b-eaf0041368a4}"/>
      </c:ext>
    </c:extLst>
  </c:chart>
  <c:spPr>
    <a:solidFill>
      <a:schemeClr val="accent3">
        <a:lumMod val="40000"/>
        <a:lumOff val="60000"/>
      </a:schemeClr>
    </a:solidFill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1F4E78"/>
                </a:solidFill>
                <a:latin typeface="+mn-lt"/>
              </a:rPr>
              <a:t>Revenue by Year and Regions</a:t>
            </a:r>
            <a:endParaRPr b="1">
              <a:solidFill>
                <a:srgbClr val="1F4E78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339228890697847"/>
          <c:y val="0.0096153846153846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0807370680085843"/>
          <c:y val="0.235897435897436"/>
          <c:w val="0.891659883075557"/>
          <c:h val="0.49775641025641"/>
        </c:manualLayout>
      </c:layout>
      <c:lineChart>
        <c:grouping val="none"/>
        <c:varyColors val="0"/>
        <c:ser>
          <c:idx val="0"/>
          <c:order val="0"/>
          <c:tx>
            <c:strRef>
              <c:f>'Revenue by Year and Regions'!$B$1:$B$2</c:f>
              <c:strCache>
                <c:ptCount val="1"/>
                <c:pt idx="0">
                  <c:v>Region Asia</c:v>
                </c:pt>
              </c:strCache>
            </c:strRef>
          </c:tx>
          <c:spPr>
            <a:ln w="19050" cap="rnd" cmpd="sng" algn="ctr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'Revenue by Year and Regions'!$A$3:$A$10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and Regions'!$B$3:$B$10</c:f>
              <c:numCache>
                <c:formatCode>General</c:formatCode>
                <c:ptCount val="8"/>
                <c:pt idx="0">
                  <c:v>1008858.96</c:v>
                </c:pt>
                <c:pt idx="1">
                  <c:v>1741540.67</c:v>
                </c:pt>
                <c:pt idx="2">
                  <c:v>7857551.39</c:v>
                </c:pt>
                <c:pt idx="3">
                  <c:v>219106.4</c:v>
                </c:pt>
                <c:pt idx="4">
                  <c:v>1562801.62</c:v>
                </c:pt>
                <c:pt idx="5">
                  <c:v>4265972.18</c:v>
                </c:pt>
                <c:pt idx="6">
                  <c:v>137177.95</c:v>
                </c:pt>
                <c:pt idx="7">
                  <c:v>2871666.48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'Revenue by Year and Regions'!$C$1:$C$2</c:f>
              <c:strCache>
                <c:ptCount val="1"/>
                <c:pt idx="0">
                  <c:v>Region Australia and Oceania</c:v>
                </c:pt>
              </c:strCache>
            </c:strRef>
          </c:tx>
          <c:spPr>
            <a:ln w="19050" cap="rnd" cmpd="sng" algn="ctr">
              <a:solidFill>
                <a:srgbClr val="C0504D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'Revenue by Year and Regions'!$A$3:$A$10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and Regions'!$C$3:$C$10</c:f>
              <c:numCache>
                <c:formatCode>General</c:formatCode>
                <c:ptCount val="8"/>
                <c:pt idx="0">
                  <c:v>7677418.11</c:v>
                </c:pt>
                <c:pt idx="1">
                  <c:v>10943964.55</c:v>
                </c:pt>
                <c:pt idx="2">
                  <c:v>963571.85</c:v>
                </c:pt>
                <c:pt idx="3">
                  <c:v>720155.2</c:v>
                </c:pt>
                <c:pt idx="4">
                  <c:v>1999714.02</c:v>
                </c:pt>
                <c:pt idx="5">
                  <c:v>4593777.82</c:v>
                </c:pt>
                <c:pt idx="6">
                  <c:v>3059244.57</c:v>
                </c:pt>
                <c:pt idx="7">
                  <c:v>9226534.56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'Revenue by Year and Regions'!$D$1:$D$2</c:f>
              <c:strCache>
                <c:ptCount val="1"/>
                <c:pt idx="0">
                  <c:v>Region Central America and the Caribbean</c:v>
                </c:pt>
              </c:strCache>
            </c:strRef>
          </c:tx>
          <c:spPr>
            <a:ln w="19050" cap="rnd" cmpd="sng" algn="ctr">
              <a:solidFill>
                <a:srgbClr val="9BBB59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'Revenue by Year and Regions'!$A$3:$A$10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and Regions'!$D$3:$D$10</c:f>
              <c:numCache>
                <c:formatCode>General</c:formatCode>
                <c:ptCount val="8"/>
                <c:pt idx="0">
                  <c:v>4628648.76</c:v>
                </c:pt>
                <c:pt idx="1">
                  <c:v>9736649.16</c:v>
                </c:pt>
                <c:pt idx="2">
                  <c:v>1192650.94</c:v>
                </c:pt>
                <c:pt idx="3">
                  <c:v>8444932.68</c:v>
                </c:pt>
                <c:pt idx="4">
                  <c:v>1919079.36</c:v>
                </c:pt>
                <c:pt idx="5">
                  <c:v>8880199.51</c:v>
                </c:pt>
                <c:pt idx="6">
                  <c:v>141531.17</c:v>
                </c:pt>
                <c:pt idx="7">
                  <c:v>6033576.12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'Revenue by Year and Regions'!$E$1:$E$2</c:f>
              <c:strCache>
                <c:ptCount val="1"/>
                <c:pt idx="0">
                  <c:v>Region Europe</c:v>
                </c:pt>
              </c:strCache>
            </c:strRef>
          </c:tx>
          <c:spPr>
            <a:ln w="19050" cap="rnd" cmpd="sng" algn="ctr">
              <a:solidFill>
                <a:srgbClr val="8064A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'Revenue by Year and Regions'!$A$3:$A$10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and Regions'!$E$3:$E$10</c:f>
              <c:numCache>
                <c:formatCode>General</c:formatCode>
                <c:ptCount val="8"/>
                <c:pt idx="0">
                  <c:v>10692367.2</c:v>
                </c:pt>
                <c:pt idx="1">
                  <c:v>2204362.4</c:v>
                </c:pt>
                <c:pt idx="2">
                  <c:v>5507135.68</c:v>
                </c:pt>
                <c:pt idx="3">
                  <c:v>728164.82</c:v>
                </c:pt>
                <c:pt idx="4">
                  <c:v>747489.42</c:v>
                </c:pt>
                <c:pt idx="5">
                  <c:v>7670080.26</c:v>
                </c:pt>
                <c:pt idx="6">
                  <c:v>5885826.26</c:v>
                </c:pt>
                <c:pt idx="7">
                  <c:v>14842685.19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'Revenue by Year and Regions'!$F$1:$F$2</c:f>
              <c:strCache>
                <c:ptCount val="1"/>
                <c:pt idx="0">
                  <c:v>Region Middle East and North Africa</c:v>
                </c:pt>
              </c:strCache>
            </c:strRef>
          </c:tx>
          <c:spPr>
            <a:ln w="19050" cap="rnd" cmpd="sng" algn="ctr">
              <a:solidFill>
                <a:srgbClr val="4BACC6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'Revenue by Year and Regions'!$A$3:$A$10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and Regions'!$F$3:$F$10</c:f>
              <c:numCache>
                <c:formatCode>General</c:formatCode>
                <c:ptCount val="8"/>
                <c:pt idx="0">
                  <c:v>730755.36</c:v>
                </c:pt>
                <c:pt idx="1">
                  <c:v>3228207.41</c:v>
                </c:pt>
                <c:pt idx="2">
                  <c:v>1438462.14</c:v>
                </c:pt>
                <c:pt idx="3">
                  <c:v>1644132.92</c:v>
                </c:pt>
                <c:pt idx="4">
                  <c:v>9641432.78</c:v>
                </c:pt>
                <c:pt idx="5">
                  <c:v>3895038.86</c:v>
                </c:pt>
                <c:pt idx="6">
                  <c:v>1215132.8</c:v>
                </c:pt>
                <c:pt idx="7">
                  <c:v>10417744.65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'Revenue by Year and Regions'!$G$1:$G$2</c:f>
              <c:strCache>
                <c:ptCount val="1"/>
                <c:pt idx="0">
                  <c:v>Region North America</c:v>
                </c:pt>
              </c:strCache>
            </c:strRef>
          </c:tx>
          <c:spPr>
            <a:ln w="19050" cap="rnd" cmpd="sng" algn="ctr">
              <a:solidFill>
                <a:srgbClr val="F79646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'Revenue by Year and Regions'!$A$3:$A$10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and Regions'!$G$3:$G$10</c:f>
              <c:numCache>
                <c:formatCode>General</c:formatCode>
                <c:ptCount val="8"/>
                <c:pt idx="0">
                  <c:v>2706300.8</c:v>
                </c:pt>
                <c:pt idx="1">
                  <c:v>185488.24</c:v>
                </c:pt>
                <c:pt idx="2">
                  <c:v>2230872.18</c:v>
                </c:pt>
                <c:pt idx="3">
                  <c:v>1422655.92</c:v>
                </c:pt>
                <c:pt idx="5">
                  <c:v>1025157.19</c:v>
                </c:pt>
                <c:pt idx="6">
                  <c:v>5184470.68</c:v>
                </c:pt>
                <c:pt idx="7">
                  <c:v>1115213.04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'Revenue by Year and Regions'!$H$1:$H$2</c:f>
              <c:strCache>
                <c:ptCount val="1"/>
                <c:pt idx="0">
                  <c:v>Region Sub-Saharan Africa</c:v>
                </c:pt>
              </c:strCache>
            </c:strRef>
          </c:tx>
          <c:spPr>
            <a:ln w="19050" cap="rnd" cmpd="sng" algn="ctr">
              <a:solidFill>
                <a:srgbClr val="84A7D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'Revenue by Year and Regions'!$A$3:$A$10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and Regions'!$H$3:$H$10</c:f>
              <c:numCache>
                <c:formatCode>General</c:formatCode>
                <c:ptCount val="8"/>
                <c:pt idx="0">
                  <c:v>1912792.16</c:v>
                </c:pt>
                <c:pt idx="1">
                  <c:v>14214085.65</c:v>
                </c:pt>
                <c:pt idx="2">
                  <c:v>951936.74</c:v>
                </c:pt>
                <c:pt idx="3">
                  <c:v>7055998.33</c:v>
                </c:pt>
                <c:pt idx="4">
                  <c:v>7423063.18</c:v>
                </c:pt>
                <c:pt idx="5">
                  <c:v>81935.46</c:v>
                </c:pt>
                <c:pt idx="6">
                  <c:v>1970237.58</c:v>
                </c:pt>
                <c:pt idx="7">
                  <c:v>3452419.79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39816648"/>
        <c:axId val="1389734861"/>
      </c:lineChart>
      <c:catAx>
        <c:axId val="43981664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Year</a:t>
                </a:r>
                <a:endParaRPr b="1">
                  <a:solidFill>
                    <a:srgbClr val="1F4E78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389734861"/>
        <c:crosses val="autoZero"/>
        <c:auto val="1"/>
        <c:lblAlgn val="ctr"/>
        <c:lblOffset val="100"/>
        <c:noMultiLvlLbl val="0"/>
      </c:catAx>
      <c:valAx>
        <c:axId val="138973486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Revenue</a:t>
                </a:r>
                <a:endParaRPr b="1">
                  <a:solidFill>
                    <a:srgbClr val="1F4E78"/>
                  </a:solidFill>
                  <a:latin typeface="+mn-lt"/>
                </a:endParaRPr>
              </a:p>
            </c:rich>
          </c:tx>
          <c:layout/>
          <c:overlay val="0"/>
        </c:title>
        <c:numFmt formatCode="[&gt;999999]0,,&quot;M&quot;;&quot;0M&quot;" sourceLinked="0"/>
        <c:majorTickMark val="none"/>
        <c:minorTickMark val="none"/>
        <c:tickLblPos val="nextTo"/>
        <c:spPr>
          <a:ln w="6350" cap="flat" cmpd="sng" algn="ctr">
            <a:solidFill>
              <a:srgbClr val="FFFF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439816648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3344dbc-efb4-4fa7-b1f3-5f22c8e73b63}"/>
      </c:ext>
    </c:extLst>
  </c:chart>
  <c:spPr>
    <a:solidFill>
      <a:srgbClr val="CFE2F3"/>
    </a:solidFill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1F4E78"/>
                </a:solidFill>
                <a:latin typeface="+mn-lt"/>
              </a:rPr>
              <a:t>Total Revenue by Year</a:t>
            </a:r>
            <a:endParaRPr b="1">
              <a:solidFill>
                <a:srgbClr val="1F4E78"/>
              </a:solidFill>
              <a:latin typeface="+mn-lt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826668717317748"/>
          <c:y val="0.215379706445437"/>
          <c:w val="0.900415256844048"/>
          <c:h val="0.502552648372687"/>
        </c:manualLayout>
      </c:layout>
      <c:lineChart>
        <c:grouping val="none"/>
        <c:varyColors val="0"/>
        <c:ser>
          <c:idx val="0"/>
          <c:order val="0"/>
          <c:tx>
            <c:strRef>
              <c:f>'Revenue by Year'!$B$1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ln w="19050" cap="rnd" cmpd="sng" algn="ctr">
              <a:solidFill>
                <a:srgbClr val="38761D">
                  <a:alpha val="100000"/>
                </a:srgbClr>
              </a:solidFill>
              <a:prstDash val="solid"/>
              <a:round/>
            </a:ln>
          </c:spPr>
          <c:marker>
            <c:symbol val="circle"/>
            <c:size val="2"/>
            <c:spPr>
              <a:solidFill>
                <a:srgbClr val="38761D">
                  <a:alpha val="100000"/>
                </a:srgbClr>
              </a:solidFill>
              <a:ln w="6350" cap="flat" cmpd="sng" algn="ctr">
                <a:solidFill>
                  <a:srgbClr val="38761D">
                    <a:alpha val="100000"/>
                  </a:srgbClr>
                </a:solidFill>
                <a:prstDash val="solid"/>
                <a:round/>
              </a:ln>
            </c:spPr>
          </c:marker>
          <c:dPt>
            <c:idx val="5"/>
            <c:marker>
              <c:symbol val="none"/>
            </c:marker>
            <c:bubble3D val="0"/>
          </c:dPt>
          <c:dPt>
            <c:idx val="6"/>
            <c:marker>
              <c:symbol val="none"/>
            </c:marker>
            <c:bubble3D val="0"/>
          </c:dPt>
          <c:dLbls>
            <c:numFmt formatCode="[&gt;999999]0,,&quot;M&quot;;&quot;0M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'Revenue by Year'!$A$2:$A$9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Year'!$B$2:$B$9</c:f>
              <c:numCache>
                <c:formatCode>General</c:formatCode>
                <c:ptCount val="8"/>
                <c:pt idx="0">
                  <c:v>29357141.35</c:v>
                </c:pt>
                <c:pt idx="1">
                  <c:v>42254298.08</c:v>
                </c:pt>
                <c:pt idx="2">
                  <c:v>20142180.92</c:v>
                </c:pt>
                <c:pt idx="3">
                  <c:v>20235146.27</c:v>
                </c:pt>
                <c:pt idx="4">
                  <c:v>23293580.38</c:v>
                </c:pt>
                <c:pt idx="5">
                  <c:v>30412161.28</c:v>
                </c:pt>
                <c:pt idx="6">
                  <c:v>17593621.01</c:v>
                </c:pt>
                <c:pt idx="7">
                  <c:v>47959839.83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46065673"/>
        <c:axId val="2041084192"/>
      </c:lineChart>
      <c:catAx>
        <c:axId val="74606567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Year</a:t>
                </a:r>
                <a:endParaRPr b="1">
                  <a:solidFill>
                    <a:srgbClr val="1F4E78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041084192"/>
        <c:crosses val="autoZero"/>
        <c:auto val="1"/>
        <c:lblAlgn val="ctr"/>
        <c:lblOffset val="100"/>
        <c:noMultiLvlLbl val="0"/>
      </c:catAx>
      <c:valAx>
        <c:axId val="204108419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Revenue</a:t>
                </a:r>
                <a:endParaRPr b="1">
                  <a:solidFill>
                    <a:srgbClr val="1F4E78"/>
                  </a:solidFill>
                  <a:latin typeface="+mn-lt"/>
                </a:endParaRPr>
              </a:p>
            </c:rich>
          </c:tx>
          <c:layout/>
          <c:overlay val="0"/>
        </c:title>
        <c:numFmt formatCode="[&gt;999999]0,,&quot;M&quot;;&quot;0M&quot;" sourceLinked="0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74606567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b8198e5-908f-4115-b31a-2f186807269f}"/>
      </c:ext>
    </c:extLst>
  </c:chart>
  <c:spPr>
    <a:solidFill>
      <a:srgbClr val="CFE2F3"/>
    </a:solidFill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1F4E78"/>
                </a:solidFill>
                <a:latin typeface="+mn-lt"/>
              </a:rPr>
              <a:t>Revenue by Item</a:t>
            </a:r>
            <a:endParaRPr b="1">
              <a:solidFill>
                <a:srgbClr val="1F4E78"/>
              </a:solidFill>
              <a:latin typeface="+mn-lt"/>
            </a:endParaRPr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0.157494519779772"/>
          <c:y val="0.117250673854447"/>
          <c:w val="0.797644142536705"/>
          <c:h val="0.711590296495957"/>
        </c:manualLayout>
      </c:layout>
      <c:barChart>
        <c:barDir val="bar"/>
        <c:grouping val="none"/>
        <c:varyColors val="0"/>
        <c:ser>
          <c:idx val="0"/>
          <c:order val="0"/>
          <c:tx>
            <c:strRef>
              <c:f>'Rev by Items'!$B$1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solidFill>
              <a:schemeClr val="accent1"/>
            </a:solidFill>
            <a:ln w="9525" cmpd="sng">
              <a:noFill/>
            </a:ln>
          </c:spPr>
          <c:invertIfNegative val="0"/>
          <c:dLbls>
            <c:numFmt formatCode="[&gt;9999999]0,,&quot;M&quot;;&quot;0M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'Rev by Items'!$A$2:$A$11</c:f>
              <c:strCache>
                <c:ptCount val="10"/>
                <c:pt idx="0">
                  <c:v>Baby Food</c:v>
                </c:pt>
                <c:pt idx="1">
                  <c:v>Beverages</c:v>
                </c:pt>
                <c:pt idx="2">
                  <c:v>Cereal</c:v>
                </c:pt>
                <c:pt idx="3">
                  <c:v>Clothes</c:v>
                </c:pt>
                <c:pt idx="4">
                  <c:v>Cosmetics</c:v>
                </c:pt>
                <c:pt idx="5">
                  <c:v>Fruits</c:v>
                </c:pt>
                <c:pt idx="6">
                  <c:v>Household</c:v>
                </c:pt>
                <c:pt idx="7">
                  <c:v>Office Supplies</c:v>
                </c:pt>
                <c:pt idx="8">
                  <c:v>Snacks</c:v>
                </c:pt>
                <c:pt idx="9">
                  <c:v>Vegetables</c:v>
                </c:pt>
              </c:strCache>
            </c:strRef>
          </c:cat>
          <c:val>
            <c:numRef>
              <c:f>'Rev by Items'!$B$2:$B$11</c:f>
              <c:numCache>
                <c:formatCode>General</c:formatCode>
                <c:ptCount val="10"/>
                <c:pt idx="0">
                  <c:v>19500839.2</c:v>
                </c:pt>
                <c:pt idx="1">
                  <c:v>4627371.45</c:v>
                </c:pt>
                <c:pt idx="2">
                  <c:v>13177142</c:v>
                </c:pt>
                <c:pt idx="3">
                  <c:v>8368116</c:v>
                </c:pt>
                <c:pt idx="4">
                  <c:v>39036276.4</c:v>
                </c:pt>
                <c:pt idx="5">
                  <c:v>590589</c:v>
                </c:pt>
                <c:pt idx="6">
                  <c:v>78446210.49</c:v>
                </c:pt>
                <c:pt idx="7">
                  <c:v>43287231.12</c:v>
                </c:pt>
                <c:pt idx="8">
                  <c:v>14059636.68</c:v>
                </c:pt>
                <c:pt idx="9">
                  <c:v>10154556.78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71094373"/>
        <c:axId val="672034747"/>
      </c:barChart>
      <c:catAx>
        <c:axId val="771094373"/>
        <c:scaling>
          <c:orientation val="maxMin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Item</a:t>
                </a:r>
                <a:endParaRPr b="1">
                  <a:solidFill>
                    <a:srgbClr val="1F4E78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672034747"/>
        <c:crosses val="autoZero"/>
        <c:auto val="1"/>
        <c:lblAlgn val="ctr"/>
        <c:lblOffset val="100"/>
        <c:noMultiLvlLbl val="0"/>
      </c:catAx>
      <c:valAx>
        <c:axId val="67203474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Revenue</a:t>
                </a:r>
                <a:endParaRPr b="1">
                  <a:solidFill>
                    <a:srgbClr val="1F4E78"/>
                  </a:solidFill>
                  <a:latin typeface="+mn-lt"/>
                </a:endParaRPr>
              </a:p>
            </c:rich>
          </c:tx>
          <c:layout/>
          <c:overlay val="0"/>
        </c:title>
        <c:numFmt formatCode="[&gt;999999]0,,&quot;M&quot;;&quot;0M&quot;" sourceLinked="0"/>
        <c:majorTickMark val="none"/>
        <c:minorTickMark val="none"/>
        <c:tickLblPos val="nextTo"/>
        <c:spPr>
          <a:ln w="6350" cap="flat" cmpd="sng" algn="ctr">
            <a:solidFill>
              <a:srgbClr val="FFFF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771094373"/>
        <c:crosses val="max"/>
        <c:crossBetween val="between"/>
      </c:valAx>
      <c:spPr>
        <a:solidFill>
          <a:schemeClr val="accent5">
            <a:lumMod val="20000"/>
            <a:lumOff val="80000"/>
          </a:schemeClr>
        </a:solidFill>
      </c:spPr>
    </c:plotArea>
    <c:plotVisOnly val="1"/>
    <c:dispBlanksAs val="gap"/>
    <c:showDLblsOverMax val="0"/>
    <c:extLst>
      <c:ext uri="{0b15fc19-7d7d-44ad-8c2d-2c3a37ce22c3}">
        <chartProps xmlns="https://web.wps.cn/et/2018/main" chartId="{96420fc8-83b5-4443-bcb7-76966b918070}"/>
      </c:ext>
    </c:extLst>
  </c:chart>
  <c:spPr>
    <a:solidFill>
      <a:schemeClr val="accent5">
        <a:lumMod val="20000"/>
        <a:lumOff val="80000"/>
      </a:schemeClr>
    </a:solidFill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1F4E78"/>
                </a:solidFill>
                <a:latin typeface="+mn-lt"/>
              </a:rPr>
              <a:t>Revenue by Order Priority</a:t>
            </a:r>
            <a:endParaRPr b="1">
              <a:solidFill>
                <a:srgbClr val="1F4E78"/>
              </a:solidFill>
              <a:latin typeface="+mn-lt"/>
            </a:endParaRPr>
          </a:p>
        </c:rich>
      </c:tx>
      <c:layout/>
      <c:overlay val="0"/>
    </c:title>
    <c:autoTitleDeleted val="0"/>
    <c:view3D>
      <c:rotX val="50"/>
      <c:rotY val="0"/>
      <c:depthPercent val="10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0.035180055401662"/>
          <c:y val="0.163385826771654"/>
          <c:w val="0.929639889196676"/>
          <c:h val="0.786614173228346"/>
        </c:manualLayout>
      </c:layout>
      <c:pie3DChart>
        <c:varyColors val="1"/>
        <c:ser>
          <c:idx val="0"/>
          <c:order val="0"/>
          <c:tx>
            <c:strRef>
              <c:f>'Revenue by OP'!$B$1</c:f>
              <c:strCache>
                <c:ptCount val="1"/>
                <c:pt idx="0">
                  <c:v>SUM of Total Revenue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rgbClr val="93C47D"/>
              </a:solidFill>
            </c:spPr>
          </c:dPt>
          <c:dPt>
            <c:idx val="1"/>
            <c:bubble3D val="0"/>
            <c:spPr>
              <a:solidFill>
                <a:srgbClr val="38761D"/>
              </a:solidFill>
            </c:spPr>
          </c:dPt>
          <c:dPt>
            <c:idx val="2"/>
            <c:bubble3D val="0"/>
            <c:spPr>
              <a:solidFill>
                <a:srgbClr val="134F5C"/>
              </a:solidFill>
            </c:spPr>
          </c:dPt>
          <c:dPt>
            <c:idx val="3"/>
            <c:bubble3D val="0"/>
            <c:spPr>
              <a:solidFill>
                <a:srgbClr val="76A5AF"/>
              </a:solidFill>
            </c:spPr>
          </c:dPt>
          <c:dPt>
            <c:idx val="4"/>
            <c:bubble3D val="0"/>
            <c:spPr>
              <a:solidFill>
                <a:srgbClr val="D9EAD3"/>
              </a:solidFill>
            </c:spPr>
          </c:dPt>
          <c:dLbls>
            <c:dLbl>
              <c:idx val="0"/>
              <c:layout/>
              <c:numFmt formatCode="[&gt;9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1"/>
              <c:layout/>
              <c:numFmt formatCode="[&gt;9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2"/>
              <c:layout/>
              <c:numFmt formatCode="[&gt;9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3"/>
              <c:layout/>
              <c:numFmt formatCode="[&gt;9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4"/>
              <c:layout/>
              <c:numFmt formatCode="[&gt;9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numFmt formatCode="[&gt;9999999]0,,&quot;M&quot;;&quot;0M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'Revenue by OP'!$A$2:$A$6</c:f>
              <c:strCache>
                <c:ptCount val="5"/>
                <c:pt idx="0">
                  <c:v>C</c:v>
                </c:pt>
                <c:pt idx="1">
                  <c:v>H</c:v>
                </c:pt>
                <c:pt idx="2">
                  <c:v>L</c:v>
                </c:pt>
                <c:pt idx="3">
                  <c:v>M</c:v>
                </c:pt>
                <c:pt idx="4">
                  <c:v>Grand Total</c:v>
                </c:pt>
              </c:strCache>
            </c:strRef>
          </c:cat>
          <c:val>
            <c:numRef>
              <c:f>'Revenue by OP'!$B$2:$B$6</c:f>
              <c:numCache>
                <c:formatCode>General</c:formatCode>
                <c:ptCount val="5"/>
                <c:pt idx="0">
                  <c:v>56597818.24</c:v>
                </c:pt>
                <c:pt idx="1">
                  <c:v>56968622.72</c:v>
                </c:pt>
                <c:pt idx="2">
                  <c:v>63186288.9</c:v>
                </c:pt>
                <c:pt idx="3">
                  <c:v>54495239.26</c:v>
                </c:pt>
                <c:pt idx="4">
                  <c:v>231247969.12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</c:plotArea>
    <c:plotVisOnly val="1"/>
    <c:dispBlanksAs val="gap"/>
    <c:showDLblsOverMax val="0"/>
    <c:extLst>
      <c:ext uri="{0b15fc19-7d7d-44ad-8c2d-2c3a37ce22c3}">
        <chartProps xmlns="https://web.wps.cn/et/2018/main" chartId="{85eeb898-ccb8-41da-bdcd-643fc5bc94e8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1F4E78"/>
                </a:solidFill>
                <a:latin typeface="+mn-lt"/>
              </a:rPr>
              <a:t>Revenue by Countries</a:t>
            </a:r>
            <a:endParaRPr b="1">
              <a:solidFill>
                <a:srgbClr val="1F4E78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'Revenue by Countries'!$B$1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delete val="1"/>
          </c:dLbls>
          <c:cat>
            <c:strRef>
              <c:f>'Revenue by Countries'!$A$2:$A$26</c:f>
              <c:strCache>
                <c:ptCount val="25"/>
                <c:pt idx="0">
                  <c:v>Armenia</c:v>
                </c:pt>
                <c:pt idx="1">
                  <c:v>Australia</c:v>
                </c:pt>
                <c:pt idx="2">
                  <c:v>Bulgaria</c:v>
                </c:pt>
                <c:pt idx="3">
                  <c:v>Canada</c:v>
                </c:pt>
                <c:pt idx="4">
                  <c:v>Cape Verde</c:v>
                </c:pt>
                <c:pt idx="5">
                  <c:v>Chad</c:v>
                </c:pt>
                <c:pt idx="6">
                  <c:v>Egypt</c:v>
                </c:pt>
                <c:pt idx="7">
                  <c:v>Eritrea</c:v>
                </c:pt>
                <c:pt idx="8">
                  <c:v>Estonia</c:v>
                </c:pt>
                <c:pt idx="9">
                  <c:v>Federated States of Micronesia</c:v>
                </c:pt>
                <c:pt idx="10">
                  <c:v>Fiji</c:v>
                </c:pt>
                <c:pt idx="11">
                  <c:v>Greece</c:v>
                </c:pt>
                <c:pt idx="12">
                  <c:v>Greenland</c:v>
                </c:pt>
                <c:pt idx="13">
                  <c:v>India</c:v>
                </c:pt>
                <c:pt idx="14">
                  <c:v>Jamaica</c:v>
                </c:pt>
                <c:pt idx="15">
                  <c:v>Japan</c:v>
                </c:pt>
                <c:pt idx="16">
                  <c:v>Libya</c:v>
                </c:pt>
                <c:pt idx="17">
                  <c:v>Maldives</c:v>
                </c:pt>
                <c:pt idx="18">
                  <c:v>Montenegro</c:v>
                </c:pt>
                <c:pt idx="19">
                  <c:v>Panama</c:v>
                </c:pt>
                <c:pt idx="20">
                  <c:v>Saudi Arabia</c:v>
                </c:pt>
                <c:pt idx="21">
                  <c:v>Senegal</c:v>
                </c:pt>
                <c:pt idx="22">
                  <c:v>Sudan</c:v>
                </c:pt>
                <c:pt idx="23">
                  <c:v>UK</c:v>
                </c:pt>
                <c:pt idx="24">
                  <c:v>USA</c:v>
                </c:pt>
              </c:strCache>
            </c:strRef>
          </c:cat>
          <c:val>
            <c:numRef>
              <c:f>'Revenue by Countries'!$B$2:$B$26</c:f>
              <c:numCache>
                <c:formatCode>General</c:formatCode>
                <c:ptCount val="25"/>
                <c:pt idx="0">
                  <c:v>8116328.29</c:v>
                </c:pt>
                <c:pt idx="1">
                  <c:v>10454132.91</c:v>
                </c:pt>
                <c:pt idx="2">
                  <c:v>970412.5</c:v>
                </c:pt>
                <c:pt idx="3">
                  <c:v>5132901.16</c:v>
                </c:pt>
                <c:pt idx="4">
                  <c:v>16909681.06</c:v>
                </c:pt>
                <c:pt idx="5">
                  <c:v>1496250.3</c:v>
                </c:pt>
                <c:pt idx="6">
                  <c:v>12911060.88</c:v>
                </c:pt>
                <c:pt idx="7">
                  <c:v>8494872</c:v>
                </c:pt>
                <c:pt idx="8">
                  <c:v>11882462.09</c:v>
                </c:pt>
                <c:pt idx="9">
                  <c:v>9067818.65</c:v>
                </c:pt>
                <c:pt idx="10">
                  <c:v>19662429.12</c:v>
                </c:pt>
                <c:pt idx="11">
                  <c:v>10235650.63</c:v>
                </c:pt>
                <c:pt idx="12">
                  <c:v>6025244.15</c:v>
                </c:pt>
                <c:pt idx="13">
                  <c:v>11361369.48</c:v>
                </c:pt>
                <c:pt idx="14">
                  <c:v>23045177.28</c:v>
                </c:pt>
                <c:pt idx="15">
                  <c:v>5224038.37</c:v>
                </c:pt>
                <c:pt idx="16">
                  <c:v>16274906.85</c:v>
                </c:pt>
                <c:pt idx="17">
                  <c:v>3079267.8</c:v>
                </c:pt>
                <c:pt idx="18">
                  <c:v>5562864.35</c:v>
                </c:pt>
                <c:pt idx="19">
                  <c:v>17932090.42</c:v>
                </c:pt>
                <c:pt idx="20">
                  <c:v>3024939.19</c:v>
                </c:pt>
                <c:pt idx="21">
                  <c:v>2706417.29</c:v>
                </c:pt>
                <c:pt idx="22">
                  <c:v>7455248.24</c:v>
                </c:pt>
                <c:pt idx="23">
                  <c:v>11510393.37</c:v>
                </c:pt>
                <c:pt idx="24">
                  <c:v>2712012.74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2306567"/>
        <c:axId val="408442548"/>
      </c:barChart>
      <c:catAx>
        <c:axId val="80230656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Country</a:t>
                </a:r>
                <a:endParaRPr b="1">
                  <a:solidFill>
                    <a:srgbClr val="1F4E78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08442548"/>
        <c:crosses val="autoZero"/>
        <c:auto val="1"/>
        <c:lblAlgn val="ctr"/>
        <c:lblOffset val="100"/>
        <c:noMultiLvlLbl val="0"/>
      </c:catAx>
      <c:valAx>
        <c:axId val="40844254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Revenue</a:t>
                </a:r>
                <a:endParaRPr b="1">
                  <a:solidFill>
                    <a:srgbClr val="1F4E78"/>
                  </a:solidFill>
                  <a:latin typeface="+mn-lt"/>
                </a:endParaRPr>
              </a:p>
            </c:rich>
          </c:tx>
          <c:layout/>
          <c:overlay val="0"/>
        </c:title>
        <c:numFmt formatCode="[&gt;999999]0,,&quot;M&quot;;&quot;0M&quot;" sourceLinked="0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802306567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4933f1e-ac26-4b25-a514-6ed74b0fe3ee}"/>
      </c:ext>
    </c:extLst>
  </c:chart>
  <c:spPr>
    <a:solidFill>
      <a:srgbClr val="CFE2F3"/>
    </a:solidFill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1F4E78"/>
                </a:solidFill>
                <a:latin typeface="+mn-lt"/>
              </a:rPr>
              <a:t>Revenue &amp; Total Cost by Region</a:t>
            </a:r>
            <a:endParaRPr b="1">
              <a:solidFill>
                <a:srgbClr val="1F4E78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0388667992047714"/>
          <c:y val="0.0339228295819936"/>
        </c:manualLayout>
      </c:layout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'Revenue &amp; Total Cost'!$B$1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delete val="1"/>
          </c:dLbls>
          <c:cat>
            <c:strRef>
              <c:f>'Revenue &amp; Total Cost'!$A$2:$A$8</c:f>
              <c:strCache>
                <c:ptCount val="7"/>
                <c:pt idx="0">
                  <c:v>Region</c:v>
                </c:pt>
                <c:pt idx="1">
                  <c:v>Asia</c:v>
                </c:pt>
                <c:pt idx="2">
                  <c:v>Australia and Oceania</c:v>
                </c:pt>
                <c:pt idx="3">
                  <c:v>Central America and the Caribbean</c:v>
                </c:pt>
                <c:pt idx="4">
                  <c:v>Europe</c:v>
                </c:pt>
                <c:pt idx="5">
                  <c:v>Middle East and North Africa</c:v>
                </c:pt>
                <c:pt idx="6">
                  <c:v>North America</c:v>
                </c:pt>
              </c:strCache>
            </c:strRef>
          </c:cat>
          <c:val>
            <c:numRef>
              <c:f>'Revenue &amp; Total Cost'!$B$2:$B$8</c:f>
              <c:numCache>
                <c:formatCode>General</c:formatCode>
                <c:ptCount val="7"/>
                <c:pt idx="0">
                  <c:v>0</c:v>
                </c:pt>
                <c:pt idx="1">
                  <c:v>19664675.65</c:v>
                </c:pt>
                <c:pt idx="2">
                  <c:v>39184380.68</c:v>
                </c:pt>
                <c:pt idx="3">
                  <c:v>40977267.7</c:v>
                </c:pt>
                <c:pt idx="4">
                  <c:v>48278111.23</c:v>
                </c:pt>
                <c:pt idx="5">
                  <c:v>32210906.92</c:v>
                </c:pt>
                <c:pt idx="6">
                  <c:v>13870158.05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8546574"/>
        <c:axId val="2042731710"/>
      </c:barChart>
      <c:lineChart>
        <c:grouping val="none"/>
        <c:varyColors val="0"/>
        <c:ser>
          <c:idx val="1"/>
          <c:order val="1"/>
          <c:tx>
            <c:strRef>
              <c:f>'Revenue &amp; Total Cost'!$C$1</c:f>
              <c:strCache>
                <c:ptCount val="1"/>
                <c:pt idx="0">
                  <c:v/>
                </c:pt>
              </c:strCache>
            </c:strRef>
          </c:tx>
          <c:spPr>
            <a:ln w="190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/>
              <c:numFmt formatCode="[&gt;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1"/>
              <c:layout/>
              <c:numFmt formatCode="[&gt;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2"/>
              <c:layout/>
              <c:numFmt formatCode="[&gt;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3"/>
              <c:layout/>
              <c:numFmt formatCode="[&gt;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4"/>
              <c:layout/>
              <c:numFmt formatCode="[&gt;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5"/>
              <c:layout/>
              <c:numFmt formatCode="[&gt;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6"/>
              <c:layout/>
              <c:numFmt formatCode="[&gt;999999]0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numFmt formatCode="[&gt;999999]0,,&quot;M&quot;;&quot;0M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'Revenue &amp; Total Cost'!$A$2:$A$8</c:f>
              <c:strCache>
                <c:ptCount val="7"/>
                <c:pt idx="0">
                  <c:v>Region</c:v>
                </c:pt>
                <c:pt idx="1">
                  <c:v>Asia</c:v>
                </c:pt>
                <c:pt idx="2">
                  <c:v>Australia and Oceania</c:v>
                </c:pt>
                <c:pt idx="3">
                  <c:v>Central America and the Caribbean</c:v>
                </c:pt>
                <c:pt idx="4">
                  <c:v>Europe</c:v>
                </c:pt>
                <c:pt idx="5">
                  <c:v>Middle East and North Africa</c:v>
                </c:pt>
                <c:pt idx="6">
                  <c:v>North America</c:v>
                </c:pt>
              </c:strCache>
            </c:strRef>
          </c:cat>
          <c:val>
            <c:numRef>
              <c:f>'Revenue &amp; Total Cost'!$C$2:$C$8</c:f>
              <c:numCache>
                <c:formatCode>General</c:formatCode>
                <c:ptCount val="7"/>
                <c:pt idx="0">
                  <c:v>0</c:v>
                </c:pt>
                <c:pt idx="1">
                  <c:v>13051454.38</c:v>
                </c:pt>
                <c:pt idx="2">
                  <c:v>28104456.01</c:v>
                </c:pt>
                <c:pt idx="3">
                  <c:v>29037440.08</c:v>
                </c:pt>
                <c:pt idx="4">
                  <c:v>32824095.43</c:v>
                </c:pt>
                <c:pt idx="5">
                  <c:v>20155761.94</c:v>
                </c:pt>
                <c:pt idx="6">
                  <c:v>8450209.94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328546574"/>
        <c:axId val="2042731710"/>
      </c:lineChart>
      <c:catAx>
        <c:axId val="132854657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Calibri" panose="020F0502020204030204"/>
                  </a:rPr>
                  <a:t>Region</a:t>
                </a:r>
                <a:endParaRPr b="1">
                  <a:solidFill>
                    <a:srgbClr val="1F4E78"/>
                  </a:solidFill>
                  <a:latin typeface="Calibri" panose="020F0502020204030204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042731710"/>
        <c:crosses val="autoZero"/>
        <c:auto val="1"/>
        <c:lblAlgn val="ctr"/>
        <c:lblOffset val="100"/>
        <c:noMultiLvlLbl val="0"/>
      </c:catAx>
      <c:valAx>
        <c:axId val="204273171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Calibri" panose="020F0502020204030204"/>
                  </a:rPr>
                  <a:t>Revenue</a:t>
                </a:r>
                <a:endParaRPr b="1">
                  <a:solidFill>
                    <a:srgbClr val="1F4E78"/>
                  </a:solidFill>
                  <a:latin typeface="Calibri" panose="020F0502020204030204"/>
                </a:endParaRPr>
              </a:p>
            </c:rich>
          </c:tx>
          <c:layout/>
          <c:overlay val="0"/>
        </c:title>
        <c:numFmt formatCode="[&gt;999999]0,,&quot;M&quot;;&quot;0M&quot;" sourceLinked="0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328546574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367b4db-a49a-4470-ba0b-eaf0041368a4}"/>
      </c:ext>
    </c:extLst>
  </c:chart>
  <c:spPr>
    <a:solidFill>
      <a:srgbClr val="D9EAD3"/>
    </a:solidFill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1F4E78"/>
                </a:solidFill>
                <a:latin typeface="+mn-lt"/>
              </a:rPr>
              <a:t>Revenue by Year and Regions</a:t>
            </a:r>
            <a:endParaRPr b="1">
              <a:solidFill>
                <a:srgbClr val="1F4E78"/>
              </a:solidFill>
              <a:latin typeface="+mn-lt"/>
            </a:endParaRPr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0.151639344262295"/>
          <c:y val="0.211363636363636"/>
          <c:w val="0.83879781420765"/>
          <c:h val="0.55"/>
        </c:manualLayout>
      </c:layout>
      <c:lineChart>
        <c:grouping val="none"/>
        <c:varyColors val="0"/>
        <c:ser>
          <c:idx val="0"/>
          <c:order val="0"/>
          <c:tx>
            <c:strRef>
              <c:f>'Revenue by Year and Regions'!$B$1:$B$2</c:f>
              <c:strCache>
                <c:ptCount val="1"/>
                <c:pt idx="0">
                  <c:v>Region Asia</c:v>
                </c:pt>
              </c:strCache>
            </c:strRef>
          </c:tx>
          <c:spPr>
            <a:ln w="19050" cap="rnd" cmpd="sng" algn="ctr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'Revenue by Year and Regions'!$A$3:$A$10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and Regions'!$B$3:$B$10</c:f>
              <c:numCache>
                <c:formatCode>General</c:formatCode>
                <c:ptCount val="8"/>
                <c:pt idx="0">
                  <c:v>1008858.96</c:v>
                </c:pt>
                <c:pt idx="1">
                  <c:v>1741540.67</c:v>
                </c:pt>
                <c:pt idx="2">
                  <c:v>7857551.39</c:v>
                </c:pt>
                <c:pt idx="3">
                  <c:v>219106.4</c:v>
                </c:pt>
                <c:pt idx="4">
                  <c:v>1562801.62</c:v>
                </c:pt>
                <c:pt idx="5">
                  <c:v>4265972.18</c:v>
                </c:pt>
                <c:pt idx="6">
                  <c:v>137177.95</c:v>
                </c:pt>
                <c:pt idx="7">
                  <c:v>2871666.48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'Revenue by Year and Regions'!$C$1:$C$2</c:f>
              <c:strCache>
                <c:ptCount val="1"/>
                <c:pt idx="0">
                  <c:v>Region Australia and Oceania</c:v>
                </c:pt>
              </c:strCache>
            </c:strRef>
          </c:tx>
          <c:spPr>
            <a:ln w="19050" cap="rnd" cmpd="sng" algn="ctr">
              <a:solidFill>
                <a:srgbClr val="C0504D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'Revenue by Year and Regions'!$A$3:$A$10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and Regions'!$C$3:$C$10</c:f>
              <c:numCache>
                <c:formatCode>General</c:formatCode>
                <c:ptCount val="8"/>
                <c:pt idx="0">
                  <c:v>7677418.11</c:v>
                </c:pt>
                <c:pt idx="1">
                  <c:v>10943964.55</c:v>
                </c:pt>
                <c:pt idx="2">
                  <c:v>963571.85</c:v>
                </c:pt>
                <c:pt idx="3">
                  <c:v>720155.2</c:v>
                </c:pt>
                <c:pt idx="4">
                  <c:v>1999714.02</c:v>
                </c:pt>
                <c:pt idx="5">
                  <c:v>4593777.82</c:v>
                </c:pt>
                <c:pt idx="6">
                  <c:v>3059244.57</c:v>
                </c:pt>
                <c:pt idx="7">
                  <c:v>9226534.56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'Revenue by Year and Regions'!$D$1:$D$2</c:f>
              <c:strCache>
                <c:ptCount val="1"/>
                <c:pt idx="0">
                  <c:v>Region Central America and the Caribbean</c:v>
                </c:pt>
              </c:strCache>
            </c:strRef>
          </c:tx>
          <c:spPr>
            <a:ln w="19050" cap="rnd" cmpd="sng" algn="ctr">
              <a:solidFill>
                <a:srgbClr val="9BBB59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'Revenue by Year and Regions'!$A$3:$A$10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and Regions'!$D$3:$D$10</c:f>
              <c:numCache>
                <c:formatCode>General</c:formatCode>
                <c:ptCount val="8"/>
                <c:pt idx="0">
                  <c:v>4628648.76</c:v>
                </c:pt>
                <c:pt idx="1">
                  <c:v>9736649.16</c:v>
                </c:pt>
                <c:pt idx="2">
                  <c:v>1192650.94</c:v>
                </c:pt>
                <c:pt idx="3">
                  <c:v>8444932.68</c:v>
                </c:pt>
                <c:pt idx="4">
                  <c:v>1919079.36</c:v>
                </c:pt>
                <c:pt idx="5">
                  <c:v>8880199.51</c:v>
                </c:pt>
                <c:pt idx="6">
                  <c:v>141531.17</c:v>
                </c:pt>
                <c:pt idx="7">
                  <c:v>6033576.12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'Revenue by Year and Regions'!$E$1:$E$2</c:f>
              <c:strCache>
                <c:ptCount val="1"/>
                <c:pt idx="0">
                  <c:v>Region Europe</c:v>
                </c:pt>
              </c:strCache>
            </c:strRef>
          </c:tx>
          <c:spPr>
            <a:ln w="19050" cap="rnd" cmpd="sng" algn="ctr">
              <a:solidFill>
                <a:srgbClr val="8064A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'Revenue by Year and Regions'!$A$3:$A$10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and Regions'!$E$3:$E$10</c:f>
              <c:numCache>
                <c:formatCode>General</c:formatCode>
                <c:ptCount val="8"/>
                <c:pt idx="0">
                  <c:v>10692367.2</c:v>
                </c:pt>
                <c:pt idx="1">
                  <c:v>2204362.4</c:v>
                </c:pt>
                <c:pt idx="2">
                  <c:v>5507135.68</c:v>
                </c:pt>
                <c:pt idx="3">
                  <c:v>728164.82</c:v>
                </c:pt>
                <c:pt idx="4">
                  <c:v>747489.42</c:v>
                </c:pt>
                <c:pt idx="5">
                  <c:v>7670080.26</c:v>
                </c:pt>
                <c:pt idx="6">
                  <c:v>5885826.26</c:v>
                </c:pt>
                <c:pt idx="7">
                  <c:v>14842685.19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'Revenue by Year and Regions'!$F$1:$F$2</c:f>
              <c:strCache>
                <c:ptCount val="1"/>
                <c:pt idx="0">
                  <c:v>Region Middle East and North Africa</c:v>
                </c:pt>
              </c:strCache>
            </c:strRef>
          </c:tx>
          <c:spPr>
            <a:ln w="19050" cap="rnd" cmpd="sng" algn="ctr">
              <a:solidFill>
                <a:srgbClr val="4BACC6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'Revenue by Year and Regions'!$A$3:$A$10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and Regions'!$F$3:$F$10</c:f>
              <c:numCache>
                <c:formatCode>General</c:formatCode>
                <c:ptCount val="8"/>
                <c:pt idx="0">
                  <c:v>730755.36</c:v>
                </c:pt>
                <c:pt idx="1">
                  <c:v>3228207.41</c:v>
                </c:pt>
                <c:pt idx="2">
                  <c:v>1438462.14</c:v>
                </c:pt>
                <c:pt idx="3">
                  <c:v>1644132.92</c:v>
                </c:pt>
                <c:pt idx="4">
                  <c:v>9641432.78</c:v>
                </c:pt>
                <c:pt idx="5">
                  <c:v>3895038.86</c:v>
                </c:pt>
                <c:pt idx="6">
                  <c:v>1215132.8</c:v>
                </c:pt>
                <c:pt idx="7">
                  <c:v>10417744.65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'Revenue by Year and Regions'!$G$1:$G$2</c:f>
              <c:strCache>
                <c:ptCount val="1"/>
                <c:pt idx="0">
                  <c:v>Region North America</c:v>
                </c:pt>
              </c:strCache>
            </c:strRef>
          </c:tx>
          <c:spPr>
            <a:ln w="19050" cap="rnd" cmpd="sng" algn="ctr">
              <a:solidFill>
                <a:srgbClr val="F79646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'Revenue by Year and Regions'!$A$3:$A$10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and Regions'!$G$3:$G$10</c:f>
              <c:numCache>
                <c:formatCode>General</c:formatCode>
                <c:ptCount val="8"/>
                <c:pt idx="0">
                  <c:v>2706300.8</c:v>
                </c:pt>
                <c:pt idx="1">
                  <c:v>185488.24</c:v>
                </c:pt>
                <c:pt idx="2">
                  <c:v>2230872.18</c:v>
                </c:pt>
                <c:pt idx="3">
                  <c:v>1422655.92</c:v>
                </c:pt>
                <c:pt idx="5">
                  <c:v>1025157.19</c:v>
                </c:pt>
                <c:pt idx="6">
                  <c:v>5184470.68</c:v>
                </c:pt>
                <c:pt idx="7">
                  <c:v>1115213.04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'Revenue by Year and Regions'!$H$1:$H$2</c:f>
              <c:strCache>
                <c:ptCount val="1"/>
                <c:pt idx="0">
                  <c:v>Region Sub-Saharan Africa</c:v>
                </c:pt>
              </c:strCache>
            </c:strRef>
          </c:tx>
          <c:spPr>
            <a:ln w="19050" cap="rnd" cmpd="sng" algn="ctr">
              <a:solidFill>
                <a:srgbClr val="84A7D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'Revenue by Year and Regions'!$A$3:$A$10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and Regions'!$H$3:$H$10</c:f>
              <c:numCache>
                <c:formatCode>General</c:formatCode>
                <c:ptCount val="8"/>
                <c:pt idx="0">
                  <c:v>1912792.16</c:v>
                </c:pt>
                <c:pt idx="1">
                  <c:v>14214085.65</c:v>
                </c:pt>
                <c:pt idx="2">
                  <c:v>951936.74</c:v>
                </c:pt>
                <c:pt idx="3">
                  <c:v>7055998.33</c:v>
                </c:pt>
                <c:pt idx="4">
                  <c:v>7423063.18</c:v>
                </c:pt>
                <c:pt idx="5">
                  <c:v>81935.46</c:v>
                </c:pt>
                <c:pt idx="6">
                  <c:v>1970237.58</c:v>
                </c:pt>
                <c:pt idx="7">
                  <c:v>3452419.79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39816648"/>
        <c:axId val="1389734861"/>
      </c:lineChart>
      <c:catAx>
        <c:axId val="43981664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389734861"/>
        <c:crosses val="autoZero"/>
        <c:auto val="1"/>
        <c:lblAlgn val="ctr"/>
        <c:lblOffset val="100"/>
        <c:noMultiLvlLbl val="0"/>
      </c:catAx>
      <c:valAx>
        <c:axId val="138973486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Revenue</a:t>
                </a:r>
                <a:endParaRPr b="1">
                  <a:solidFill>
                    <a:srgbClr val="1F4E78"/>
                  </a:solidFill>
                  <a:latin typeface="+mn-lt"/>
                </a:endParaRPr>
              </a:p>
            </c:rich>
          </c:tx>
          <c:layout/>
          <c:overlay val="0"/>
        </c:title>
        <c:numFmt formatCode="[&gt;999999]0,,&quot;M&quot;;&quot;0M&quot;" sourceLinked="0"/>
        <c:majorTickMark val="none"/>
        <c:minorTickMark val="none"/>
        <c:tickLblPos val="nextTo"/>
        <c:spPr>
          <a:ln w="6350" cap="flat" cmpd="sng" algn="ctr">
            <a:solidFill>
              <a:srgbClr val="FFFF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439816648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3344dbc-efb4-4fa7-b1f3-5f22c8e73b63}"/>
      </c:ext>
    </c:extLst>
  </c:chart>
  <c:spPr>
    <a:solidFill>
      <a:srgbClr val="CFE2F3"/>
    </a:solidFill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1F4E78"/>
                </a:solidFill>
                <a:latin typeface="+mn-lt"/>
              </a:rPr>
              <a:t>Total Revenue by Year</a:t>
            </a:r>
            <a:endParaRPr b="1">
              <a:solidFill>
                <a:srgbClr val="1F4E78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tx>
            <c:strRef>
              <c:f>'Revenue by Year'!$B$1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ln w="19050" cap="rnd" cmpd="sng" algn="ctr">
              <a:solidFill>
                <a:srgbClr val="38761D">
                  <a:alpha val="100000"/>
                </a:srgbClr>
              </a:solidFill>
              <a:prstDash val="solid"/>
              <a:round/>
            </a:ln>
          </c:spPr>
          <c:marker>
            <c:symbol val="circle"/>
            <c:size val="2"/>
            <c:spPr>
              <a:solidFill>
                <a:srgbClr val="38761D">
                  <a:alpha val="100000"/>
                </a:srgbClr>
              </a:solidFill>
              <a:ln w="6350" cap="flat" cmpd="sng" algn="ctr">
                <a:solidFill>
                  <a:srgbClr val="38761D">
                    <a:alpha val="100000"/>
                  </a:srgbClr>
                </a:solidFill>
                <a:prstDash val="solid"/>
                <a:round/>
              </a:ln>
            </c:spPr>
          </c:marker>
          <c:dPt>
            <c:idx val="5"/>
            <c:marker>
              <c:symbol val="none"/>
            </c:marker>
            <c:bubble3D val="0"/>
          </c:dPt>
          <c:dPt>
            <c:idx val="6"/>
            <c:marker>
              <c:symbol val="none"/>
            </c:marker>
            <c:bubble3D val="0"/>
          </c:dPt>
          <c:dLbls>
            <c:numFmt formatCode="[&gt;999999]0,,&quot;M&quot;;&quot;0M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'Revenue by Year'!$A$2:$A$9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Year'!$B$2:$B$9</c:f>
              <c:numCache>
                <c:formatCode>General</c:formatCode>
                <c:ptCount val="8"/>
                <c:pt idx="0">
                  <c:v>29357141.35</c:v>
                </c:pt>
                <c:pt idx="1">
                  <c:v>42254298.08</c:v>
                </c:pt>
                <c:pt idx="2">
                  <c:v>20142180.92</c:v>
                </c:pt>
                <c:pt idx="3">
                  <c:v>20235146.27</c:v>
                </c:pt>
                <c:pt idx="4">
                  <c:v>23293580.38</c:v>
                </c:pt>
                <c:pt idx="5">
                  <c:v>30412161.28</c:v>
                </c:pt>
                <c:pt idx="6">
                  <c:v>17593621.01</c:v>
                </c:pt>
                <c:pt idx="7">
                  <c:v>47959839.83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46065673"/>
        <c:axId val="2041084192"/>
      </c:lineChart>
      <c:catAx>
        <c:axId val="74606567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041084192"/>
        <c:crosses val="autoZero"/>
        <c:auto val="1"/>
        <c:lblAlgn val="ctr"/>
        <c:lblOffset val="100"/>
        <c:noMultiLvlLbl val="0"/>
      </c:catAx>
      <c:valAx>
        <c:axId val="204108419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1F4E7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1F4E78"/>
                    </a:solidFill>
                    <a:latin typeface="+mn-lt"/>
                  </a:rPr>
                  <a:t>Revenue</a:t>
                </a:r>
                <a:endParaRPr b="1">
                  <a:solidFill>
                    <a:srgbClr val="1F4E78"/>
                  </a:solidFill>
                  <a:latin typeface="+mn-lt"/>
                </a:endParaRPr>
              </a:p>
            </c:rich>
          </c:tx>
          <c:layout/>
          <c:overlay val="0"/>
        </c:title>
        <c:numFmt formatCode="[&gt;999999]0,,&quot;M&quot;;&quot;0M&quot;" sourceLinked="0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746065673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b8198e5-908f-4115-b31a-2f186807269f}"/>
      </c:ext>
    </c:extLst>
  </c:chart>
  <c:spPr>
    <a:solidFill>
      <a:srgbClr val="CFE2F3"/>
    </a:solidFill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4" Type="http://schemas.openxmlformats.org/officeDocument/2006/relationships/image" Target="../media/image3.png"/><Relationship Id="rId13" Type="http://schemas.openxmlformats.org/officeDocument/2006/relationships/image" Target="../media/image2.png"/><Relationship Id="rId12" Type="http://schemas.openxmlformats.org/officeDocument/2006/relationships/image" Target="../media/image1.jpeg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9" Type="http://schemas.openxmlformats.org/officeDocument/2006/relationships/chart" Target="../charts/chart25.xml"/><Relationship Id="rId8" Type="http://schemas.openxmlformats.org/officeDocument/2006/relationships/chart" Target="../charts/chart24.xml"/><Relationship Id="rId7" Type="http://schemas.openxmlformats.org/officeDocument/2006/relationships/chart" Target="../charts/chart23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5" Type="http://schemas.openxmlformats.org/officeDocument/2006/relationships/image" Target="../media/image3.png"/><Relationship Id="rId14" Type="http://schemas.openxmlformats.org/officeDocument/2006/relationships/image" Target="../media/image2.png"/><Relationship Id="rId13" Type="http://schemas.openxmlformats.org/officeDocument/2006/relationships/image" Target="../media/image1.jpeg"/><Relationship Id="rId12" Type="http://schemas.openxmlformats.org/officeDocument/2006/relationships/chart" Target="../charts/chart28.xml"/><Relationship Id="rId11" Type="http://schemas.openxmlformats.org/officeDocument/2006/relationships/chart" Target="../charts/chart27.xml"/><Relationship Id="rId10" Type="http://schemas.openxmlformats.org/officeDocument/2006/relationships/chart" Target="../charts/chart26.xml"/><Relationship Id="rId1" Type="http://schemas.openxmlformats.org/officeDocument/2006/relationships/chart" Target="../charts/chart1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587</xdr:row>
      <xdr:rowOff>9525</xdr:rowOff>
    </xdr:from>
    <xdr:ext cx="1143000" cy="695325"/>
    <xdr:graphicFrame>
      <xdr:nvGraphicFramePr>
        <xdr:cNvPr id="3" name="Chart 3" title="Chart"/>
        <xdr:cNvGraphicFramePr/>
      </xdr:nvGraphicFramePr>
      <xdr:xfrm>
        <a:off x="0" y="111833025"/>
        <a:ext cx="1143000" cy="695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276225</xdr:colOff>
      <xdr:row>587</xdr:row>
      <xdr:rowOff>9525</xdr:rowOff>
    </xdr:from>
    <xdr:ext cx="1143000" cy="695325"/>
    <xdr:graphicFrame>
      <xdr:nvGraphicFramePr>
        <xdr:cNvPr id="4" name="Chart 4" title="Chart"/>
        <xdr:cNvGraphicFramePr/>
      </xdr:nvGraphicFramePr>
      <xdr:xfrm>
        <a:off x="1238250" y="111833025"/>
        <a:ext cx="1143000" cy="695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552450</xdr:colOff>
      <xdr:row>587</xdr:row>
      <xdr:rowOff>9525</xdr:rowOff>
    </xdr:from>
    <xdr:ext cx="1343025" cy="695325"/>
    <xdr:graphicFrame>
      <xdr:nvGraphicFramePr>
        <xdr:cNvPr id="5" name="Chart 5" title="Chart"/>
        <xdr:cNvGraphicFramePr/>
      </xdr:nvGraphicFramePr>
      <xdr:xfrm>
        <a:off x="2476500" y="111833025"/>
        <a:ext cx="1343025" cy="695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276225</xdr:colOff>
      <xdr:row>591</xdr:row>
      <xdr:rowOff>57150</xdr:rowOff>
    </xdr:from>
    <xdr:ext cx="1143000" cy="695325"/>
    <xdr:graphicFrame>
      <xdr:nvGraphicFramePr>
        <xdr:cNvPr id="6" name="Chart 6" title="Chart"/>
        <xdr:cNvGraphicFramePr/>
      </xdr:nvGraphicFramePr>
      <xdr:xfrm>
        <a:off x="1238250" y="112642650"/>
        <a:ext cx="1143000" cy="695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0</xdr:colOff>
      <xdr:row>591</xdr:row>
      <xdr:rowOff>57150</xdr:rowOff>
    </xdr:from>
    <xdr:ext cx="1143000" cy="695325"/>
    <xdr:graphicFrame>
      <xdr:nvGraphicFramePr>
        <xdr:cNvPr id="8" name="Chart 8" title="Chart"/>
        <xdr:cNvGraphicFramePr/>
      </xdr:nvGraphicFramePr>
      <xdr:xfrm>
        <a:off x="0" y="112642650"/>
        <a:ext cx="1143000" cy="695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2</xdr:col>
      <xdr:colOff>552450</xdr:colOff>
      <xdr:row>591</xdr:row>
      <xdr:rowOff>57150</xdr:rowOff>
    </xdr:from>
    <xdr:ext cx="1343025" cy="695325"/>
    <xdr:graphicFrame>
      <xdr:nvGraphicFramePr>
        <xdr:cNvPr id="9" name="Chart 9" title="Chart"/>
        <xdr:cNvGraphicFramePr/>
      </xdr:nvGraphicFramePr>
      <xdr:xfrm>
        <a:off x="2476500" y="112642650"/>
        <a:ext cx="1343025" cy="695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0</xdr:col>
      <xdr:colOff>781050</xdr:colOff>
      <xdr:row>0</xdr:row>
      <xdr:rowOff>57150</xdr:rowOff>
    </xdr:from>
    <xdr:ext cx="16344265" cy="8829040"/>
    <xdr:grpSp>
      <xdr:nvGrpSpPr>
        <xdr:cNvPr id="2" name="Shape 2" title="Drawing"/>
        <xdr:cNvGrpSpPr/>
      </xdr:nvGrpSpPr>
      <xdr:grpSpPr>
        <a:xfrm>
          <a:off x="781050" y="57150"/>
          <a:ext cx="16344265" cy="8829040"/>
          <a:chOff x="147023" y="152400"/>
          <a:chExt cx="6789850" cy="4991101"/>
        </a:xfrm>
      </xdr:grpSpPr>
      <xdr:pic>
        <xdr:nvPicPr>
          <xdr:cNvPr id="7" name="Shape 3"/>
          <xdr:cNvPicPr preferRelativeResize="0"/>
        </xdr:nvPicPr>
        <xdr:blipFill>
          <a:blip r:embed="rId12"/>
          <a:stretch>
            <a:fillRect/>
          </a:stretch>
        </xdr:blipFill>
        <xdr:spPr>
          <a:xfrm>
            <a:off x="147023" y="152400"/>
            <a:ext cx="6789850" cy="4991101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10" name="Shape 4"/>
          <xdr:cNvSpPr/>
        </xdr:nvSpPr>
        <xdr:spPr>
          <a:xfrm>
            <a:off x="2061932" y="287952"/>
            <a:ext cx="3241512" cy="362502"/>
          </a:xfrm>
          <a:prstGeom prst="flowChartTerminator">
            <a:avLst/>
          </a:prstGeom>
          <a:solidFill>
            <a:srgbClr val="274E1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>
        <xdr:nvSpPr>
          <xdr:cNvPr id="11" name="Shape 5"/>
          <xdr:cNvSpPr txBox="1"/>
        </xdr:nvSpPr>
        <xdr:spPr>
          <a:xfrm>
            <a:off x="2020801" y="261450"/>
            <a:ext cx="3241500" cy="4155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ctr" anchorCtr="0">
            <a:sp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500">
                <a:solidFill>
                  <a:srgbClr val="FFFFFF"/>
                </a:solidFill>
                <a:latin typeface="Pacifico"/>
                <a:ea typeface="Pacifico"/>
                <a:cs typeface="Pacifico"/>
                <a:sym typeface="Pacifico"/>
              </a:rPr>
              <a:t>Excel Profit Dashboard On Sales</a:t>
            </a:r>
            <a:endParaRPr sz="1500">
              <a:solidFill>
                <a:srgbClr val="FFFFFF"/>
              </a:solidFill>
              <a:latin typeface="Pacifico"/>
              <a:ea typeface="Pacifico"/>
              <a:cs typeface="Pacifico"/>
              <a:sym typeface="Pacifico"/>
            </a:endParaRPr>
          </a:p>
        </xdr:txBody>
      </xdr:sp>
      <xdr:pic>
        <xdr:nvPicPr>
          <xdr:cNvPr id="12" name="Shape 6"/>
          <xdr:cNvPicPr preferRelativeResize="0"/>
        </xdr:nvPicPr>
        <xdr:blipFill>
          <a:blip r:embed="rId13"/>
          <a:stretch>
            <a:fillRect/>
          </a:stretch>
        </xdr:blipFill>
        <xdr:spPr>
          <a:xfrm>
            <a:off x="1616277" y="372983"/>
            <a:ext cx="433325" cy="45830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13" name="Shape 7"/>
          <xdr:cNvPicPr preferRelativeResize="0"/>
        </xdr:nvPicPr>
        <xdr:blipFill>
          <a:blip r:embed="rId14"/>
          <a:srcRect l="15195" t="22023" r="17691" b="21217"/>
          <a:stretch>
            <a:fillRect/>
          </a:stretch>
        </xdr:blipFill>
        <xdr:spPr>
          <a:xfrm>
            <a:off x="1211529" y="251250"/>
            <a:ext cx="433325" cy="43590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14" name="Shape 8"/>
          <xdr:cNvPicPr preferRelativeResize="0"/>
        </xdr:nvPicPr>
        <xdr:blipFill>
          <a:blip r:embed="rId14"/>
          <a:srcRect l="15195" t="22023" r="17691" b="21217"/>
          <a:stretch>
            <a:fillRect/>
          </a:stretch>
        </xdr:blipFill>
        <xdr:spPr>
          <a:xfrm>
            <a:off x="5323840" y="220573"/>
            <a:ext cx="433325" cy="43590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15" name="Shape 9"/>
          <xdr:cNvPicPr preferRelativeResize="0"/>
        </xdr:nvPicPr>
        <xdr:blipFill>
          <a:blip r:embed="rId13"/>
          <a:stretch>
            <a:fillRect/>
          </a:stretch>
        </xdr:blipFill>
        <xdr:spPr>
          <a:xfrm>
            <a:off x="5757108" y="358716"/>
            <a:ext cx="392863" cy="4155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12700</xdr:colOff>
      <xdr:row>31</xdr:row>
      <xdr:rowOff>79375</xdr:rowOff>
    </xdr:from>
    <xdr:ext cx="15724505" cy="2810510"/>
    <xdr:graphicFrame>
      <xdr:nvGraphicFramePr>
        <xdr:cNvPr id="29" name="Chart 28" title="Chart"/>
        <xdr:cNvGraphicFramePr/>
      </xdr:nvGraphicFramePr>
      <xdr:xfrm>
        <a:off x="974725" y="5984875"/>
        <a:ext cx="15724505" cy="28105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9</xdr:col>
      <xdr:colOff>514350</xdr:colOff>
      <xdr:row>19</xdr:row>
      <xdr:rowOff>161925</xdr:rowOff>
    </xdr:from>
    <xdr:ext cx="7552055" cy="2067560"/>
    <xdr:graphicFrame>
      <xdr:nvGraphicFramePr>
        <xdr:cNvPr id="30" name="Chart 29" title="Chart"/>
        <xdr:cNvGraphicFramePr/>
      </xdr:nvGraphicFramePr>
      <xdr:xfrm>
        <a:off x="9172575" y="3781425"/>
        <a:ext cx="7552055" cy="2067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9</xdr:col>
      <xdr:colOff>504825</xdr:colOff>
      <xdr:row>8</xdr:row>
      <xdr:rowOff>19050</xdr:rowOff>
    </xdr:from>
    <xdr:ext cx="7553325" cy="2124075"/>
    <xdr:graphicFrame>
      <xdr:nvGraphicFramePr>
        <xdr:cNvPr id="31" name="Chart 7" title="Chart"/>
        <xdr:cNvGraphicFramePr/>
      </xdr:nvGraphicFramePr>
      <xdr:xfrm>
        <a:off x="9163050" y="1543050"/>
        <a:ext cx="7553325" cy="21240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twoCellAnchor>
    <xdr:from>
      <xdr:col>1</xdr:col>
      <xdr:colOff>3810</xdr:colOff>
      <xdr:row>20</xdr:row>
      <xdr:rowOff>3175</xdr:rowOff>
    </xdr:from>
    <xdr:to>
      <xdr:col>9</xdr:col>
      <xdr:colOff>351790</xdr:colOff>
      <xdr:row>30</xdr:row>
      <xdr:rowOff>165100</xdr:rowOff>
    </xdr:to>
    <xdr:graphicFrame>
      <xdr:nvGraphicFramePr>
        <xdr:cNvPr id="32" name="Chart 31"/>
        <xdr:cNvGraphicFramePr/>
      </xdr:nvGraphicFramePr>
      <xdr:xfrm>
        <a:off x="965835" y="3813175"/>
        <a:ext cx="8044180" cy="2066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oneCellAnchor>
    <xdr:from>
      <xdr:col>1</xdr:col>
      <xdr:colOff>28575</xdr:colOff>
      <xdr:row>8</xdr:row>
      <xdr:rowOff>38100</xdr:rowOff>
    </xdr:from>
    <xdr:ext cx="8009890" cy="2113915"/>
    <xdr:graphicFrame>
      <xdr:nvGraphicFramePr>
        <xdr:cNvPr id="33" name="Chart 10" title="Chart"/>
        <xdr:cNvGraphicFramePr/>
      </xdr:nvGraphicFramePr>
      <xdr:xfrm>
        <a:off x="990600" y="1562100"/>
        <a:ext cx="8009890" cy="21139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829310</xdr:colOff>
      <xdr:row>14</xdr:row>
      <xdr:rowOff>180340</xdr:rowOff>
    </xdr:from>
    <xdr:ext cx="15724505" cy="2810510"/>
    <xdr:graphicFrame>
      <xdr:nvGraphicFramePr>
        <xdr:cNvPr id="3" name="Chart 2" title="Chart"/>
        <xdr:cNvGraphicFramePr/>
      </xdr:nvGraphicFramePr>
      <xdr:xfrm>
        <a:off x="829310" y="2847340"/>
        <a:ext cx="15724505" cy="28105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742950</xdr:colOff>
      <xdr:row>4</xdr:row>
      <xdr:rowOff>76835</xdr:rowOff>
    </xdr:from>
    <xdr:ext cx="6066790" cy="3076575"/>
    <xdr:graphicFrame>
      <xdr:nvGraphicFramePr>
        <xdr:cNvPr id="2" name="Chart 1" title="Chart"/>
        <xdr:cNvGraphicFramePr/>
      </xdr:nvGraphicFramePr>
      <xdr:xfrm>
        <a:off x="2667000" y="838835"/>
        <a:ext cx="6066790" cy="3076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476250</xdr:colOff>
      <xdr:row>6</xdr:row>
      <xdr:rowOff>9525</xdr:rowOff>
    </xdr:from>
    <xdr:ext cx="5733415" cy="3638550"/>
    <xdr:graphicFrame>
      <xdr:nvGraphicFramePr>
        <xdr:cNvPr id="7" name="Chart 7" title="Chart"/>
        <xdr:cNvGraphicFramePr/>
      </xdr:nvGraphicFramePr>
      <xdr:xfrm>
        <a:off x="4324350" y="1152525"/>
        <a:ext cx="5733415" cy="3638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123825</xdr:colOff>
      <xdr:row>0</xdr:row>
      <xdr:rowOff>47625</xdr:rowOff>
    </xdr:from>
    <xdr:ext cx="1771650" cy="1466850"/>
    <xdr:pic>
      <xdr:nvPicPr>
        <xdr:cNvPr id="525396714" name="Chart11" title="Chart"/>
        <xdr:cNvPicPr preferRelativeResize="0"/>
      </xdr:nvPicPr>
      <xdr:blipFill/>
      <xdr:spPr>
        <a:xfrm>
          <a:off x="3095625" y="47625"/>
          <a:ext cx="1771650" cy="1466850"/>
        </a:xfrm>
        <a:prstGeom prst="rect">
          <a:avLst/>
        </a:prstGeom>
        <a:noFill/>
      </xdr:spPr>
    </xdr:pic>
    <xdr:clientData fLocksWithSheet="0"/>
  </xdr:oneCellAnchor>
  <xdr:twoCellAnchor>
    <xdr:from>
      <xdr:col>2</xdr:col>
      <xdr:colOff>660400</xdr:colOff>
      <xdr:row>1</xdr:row>
      <xdr:rowOff>168910</xdr:rowOff>
    </xdr:from>
    <xdr:to>
      <xdr:col>9</xdr:col>
      <xdr:colOff>618490</xdr:colOff>
      <xdr:row>24</xdr:row>
      <xdr:rowOff>130175</xdr:rowOff>
    </xdr:to>
    <xdr:graphicFrame>
      <xdr:nvGraphicFramePr>
        <xdr:cNvPr id="2" name="Chart 1"/>
        <xdr:cNvGraphicFramePr/>
      </xdr:nvGraphicFramePr>
      <xdr:xfrm>
        <a:off x="3632200" y="359410"/>
        <a:ext cx="6692265" cy="43427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342900</xdr:colOff>
      <xdr:row>2</xdr:row>
      <xdr:rowOff>171450</xdr:rowOff>
    </xdr:from>
    <xdr:ext cx="6619240" cy="4066540"/>
    <xdr:graphicFrame>
      <xdr:nvGraphicFramePr>
        <xdr:cNvPr id="10" name="Chart 10" title="Chart"/>
        <xdr:cNvGraphicFramePr/>
      </xdr:nvGraphicFramePr>
      <xdr:xfrm>
        <a:off x="3505200" y="552450"/>
        <a:ext cx="6619240" cy="4066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587</xdr:row>
      <xdr:rowOff>9525</xdr:rowOff>
    </xdr:from>
    <xdr:ext cx="1143000" cy="695325"/>
    <xdr:graphicFrame>
      <xdr:nvGraphicFramePr>
        <xdr:cNvPr id="12" name="Chart 12" title="Chart"/>
        <xdr:cNvGraphicFramePr/>
      </xdr:nvGraphicFramePr>
      <xdr:xfrm>
        <a:off x="0" y="111833025"/>
        <a:ext cx="1143000" cy="695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276225</xdr:colOff>
      <xdr:row>587</xdr:row>
      <xdr:rowOff>9525</xdr:rowOff>
    </xdr:from>
    <xdr:ext cx="1143000" cy="695325"/>
    <xdr:graphicFrame>
      <xdr:nvGraphicFramePr>
        <xdr:cNvPr id="13" name="Chart 13" title="Chart"/>
        <xdr:cNvGraphicFramePr/>
      </xdr:nvGraphicFramePr>
      <xdr:xfrm>
        <a:off x="1238250" y="111833025"/>
        <a:ext cx="1143000" cy="695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552450</xdr:colOff>
      <xdr:row>587</xdr:row>
      <xdr:rowOff>9525</xdr:rowOff>
    </xdr:from>
    <xdr:ext cx="1343025" cy="695325"/>
    <xdr:graphicFrame>
      <xdr:nvGraphicFramePr>
        <xdr:cNvPr id="14" name="Chart 14" title="Chart"/>
        <xdr:cNvGraphicFramePr/>
      </xdr:nvGraphicFramePr>
      <xdr:xfrm>
        <a:off x="2476500" y="111833025"/>
        <a:ext cx="1343025" cy="695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276225</xdr:colOff>
      <xdr:row>591</xdr:row>
      <xdr:rowOff>57150</xdr:rowOff>
    </xdr:from>
    <xdr:ext cx="1143000" cy="695325"/>
    <xdr:graphicFrame>
      <xdr:nvGraphicFramePr>
        <xdr:cNvPr id="15" name="Chart 15" title="Chart"/>
        <xdr:cNvGraphicFramePr/>
      </xdr:nvGraphicFramePr>
      <xdr:xfrm>
        <a:off x="1238250" y="112642650"/>
        <a:ext cx="1143000" cy="695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0</xdr:colOff>
      <xdr:row>591</xdr:row>
      <xdr:rowOff>57150</xdr:rowOff>
    </xdr:from>
    <xdr:ext cx="1143000" cy="695325"/>
    <xdr:graphicFrame>
      <xdr:nvGraphicFramePr>
        <xdr:cNvPr id="16" name="Chart 16" title="Chart"/>
        <xdr:cNvGraphicFramePr/>
      </xdr:nvGraphicFramePr>
      <xdr:xfrm>
        <a:off x="0" y="112642650"/>
        <a:ext cx="1143000" cy="695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2</xdr:col>
      <xdr:colOff>552450</xdr:colOff>
      <xdr:row>591</xdr:row>
      <xdr:rowOff>57150</xdr:rowOff>
    </xdr:from>
    <xdr:ext cx="1343025" cy="695325"/>
    <xdr:graphicFrame>
      <xdr:nvGraphicFramePr>
        <xdr:cNvPr id="17" name="Chart 17" title="Chart"/>
        <xdr:cNvGraphicFramePr/>
      </xdr:nvGraphicFramePr>
      <xdr:xfrm>
        <a:off x="2476500" y="112642650"/>
        <a:ext cx="1343025" cy="695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0</xdr:col>
      <xdr:colOff>9525</xdr:colOff>
      <xdr:row>0</xdr:row>
      <xdr:rowOff>9525</xdr:rowOff>
    </xdr:from>
    <xdr:ext cx="17559020" cy="8856980"/>
    <xdr:grpSp>
      <xdr:nvGrpSpPr>
        <xdr:cNvPr id="2" name="Shape 2" title="Drawing"/>
        <xdr:cNvGrpSpPr/>
      </xdr:nvGrpSpPr>
      <xdr:grpSpPr>
        <a:xfrm>
          <a:off x="9525" y="9525"/>
          <a:ext cx="17559020" cy="8856980"/>
          <a:chOff x="147025" y="152400"/>
          <a:chExt cx="5767276" cy="4991101"/>
        </a:xfrm>
      </xdr:grpSpPr>
      <xdr:pic>
        <xdr:nvPicPr>
          <xdr:cNvPr id="3" name="Shape 3"/>
          <xdr:cNvPicPr preferRelativeResize="0"/>
        </xdr:nvPicPr>
        <xdr:blipFill>
          <a:blip r:embed="rId13"/>
          <a:stretch>
            <a:fillRect/>
          </a:stretch>
        </xdr:blipFill>
        <xdr:spPr>
          <a:xfrm>
            <a:off x="147025" y="152400"/>
            <a:ext cx="5767276" cy="4991101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4" name="Shape 4"/>
          <xdr:cNvSpPr/>
        </xdr:nvSpPr>
        <xdr:spPr>
          <a:xfrm>
            <a:off x="1458619" y="287952"/>
            <a:ext cx="3241512" cy="362502"/>
          </a:xfrm>
          <a:prstGeom prst="flowChartTerminator">
            <a:avLst/>
          </a:prstGeom>
          <a:solidFill>
            <a:srgbClr val="274E1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>
        <xdr:nvSpPr>
          <xdr:cNvPr id="5" name="Shape 5"/>
          <xdr:cNvSpPr txBox="1"/>
        </xdr:nvSpPr>
        <xdr:spPr>
          <a:xfrm>
            <a:off x="1427714" y="261450"/>
            <a:ext cx="3241500" cy="4155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ctr" anchorCtr="0">
            <a:sp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500">
                <a:solidFill>
                  <a:srgbClr val="FFFFFF"/>
                </a:solidFill>
                <a:latin typeface="Pacifico"/>
                <a:ea typeface="Pacifico"/>
                <a:cs typeface="Pacifico"/>
                <a:sym typeface="Pacifico"/>
              </a:rPr>
              <a:t>Excel Revenue Dashboard On Sales</a:t>
            </a:r>
            <a:endParaRPr sz="1500">
              <a:solidFill>
                <a:srgbClr val="FFFFFF"/>
              </a:solidFill>
              <a:latin typeface="Pacifico"/>
              <a:ea typeface="Pacifico"/>
              <a:cs typeface="Pacifico"/>
              <a:sym typeface="Pacifico"/>
            </a:endParaRPr>
          </a:p>
        </xdr:txBody>
      </xdr:sp>
      <xdr:pic>
        <xdr:nvPicPr>
          <xdr:cNvPr id="6" name="Shape 6"/>
          <xdr:cNvPicPr preferRelativeResize="0"/>
        </xdr:nvPicPr>
        <xdr:blipFill>
          <a:blip r:embed="rId14"/>
          <a:stretch>
            <a:fillRect/>
          </a:stretch>
        </xdr:blipFill>
        <xdr:spPr>
          <a:xfrm>
            <a:off x="1176573" y="372979"/>
            <a:ext cx="262354" cy="277475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7" name="Shape 7"/>
          <xdr:cNvPicPr preferRelativeResize="0"/>
        </xdr:nvPicPr>
        <xdr:blipFill>
          <a:blip r:embed="rId15"/>
          <a:srcRect l="15195" t="22023" r="17691" b="21217"/>
          <a:stretch>
            <a:fillRect/>
          </a:stretch>
        </xdr:blipFill>
        <xdr:spPr>
          <a:xfrm>
            <a:off x="853628" y="251250"/>
            <a:ext cx="314475" cy="316344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8" name="Shape 8"/>
          <xdr:cNvPicPr preferRelativeResize="0"/>
        </xdr:nvPicPr>
        <xdr:blipFill>
          <a:blip r:embed="rId15"/>
          <a:srcRect l="15195" t="22023" r="17691" b="21217"/>
          <a:stretch>
            <a:fillRect/>
          </a:stretch>
        </xdr:blipFill>
        <xdr:spPr>
          <a:xfrm>
            <a:off x="4704751" y="226312"/>
            <a:ext cx="314475" cy="316344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9" name="Shape 9"/>
          <xdr:cNvPicPr preferRelativeResize="0"/>
        </xdr:nvPicPr>
        <xdr:blipFill>
          <a:blip r:embed="rId14"/>
          <a:stretch>
            <a:fillRect/>
          </a:stretch>
        </xdr:blipFill>
        <xdr:spPr>
          <a:xfrm>
            <a:off x="5026457" y="335775"/>
            <a:ext cx="314475" cy="33258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6</xdr:col>
      <xdr:colOff>924560</xdr:colOff>
      <xdr:row>29</xdr:row>
      <xdr:rowOff>152400</xdr:rowOff>
    </xdr:from>
    <xdr:ext cx="5220335" cy="2419350"/>
    <xdr:graphicFrame>
      <xdr:nvGraphicFramePr>
        <xdr:cNvPr id="28" name="Chart 18" title="Chart"/>
        <xdr:cNvGraphicFramePr/>
      </xdr:nvGraphicFramePr>
      <xdr:xfrm>
        <a:off x="6696710" y="5676900"/>
        <a:ext cx="5220335" cy="2419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6</xdr:col>
      <xdr:colOff>895350</xdr:colOff>
      <xdr:row>18</xdr:row>
      <xdr:rowOff>123190</xdr:rowOff>
    </xdr:from>
    <xdr:ext cx="5238750" cy="2019935"/>
    <xdr:graphicFrame>
      <xdr:nvGraphicFramePr>
        <xdr:cNvPr id="29" name="Chart 19" title="Chart"/>
        <xdr:cNvGraphicFramePr/>
      </xdr:nvGraphicFramePr>
      <xdr:xfrm>
        <a:off x="6667500" y="3552190"/>
        <a:ext cx="5238750" cy="20199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12</xdr:col>
      <xdr:colOff>465455</xdr:colOff>
      <xdr:row>18</xdr:row>
      <xdr:rowOff>114300</xdr:rowOff>
    </xdr:from>
    <xdr:ext cx="5248910" cy="4543425"/>
    <xdr:graphicFrame>
      <xdr:nvGraphicFramePr>
        <xdr:cNvPr id="30" name="Chart 20" title="Chart"/>
        <xdr:cNvGraphicFramePr/>
      </xdr:nvGraphicFramePr>
      <xdr:xfrm>
        <a:off x="12009755" y="3543300"/>
        <a:ext cx="5248910" cy="4543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0</xdr:col>
      <xdr:colOff>285750</xdr:colOff>
      <xdr:row>18</xdr:row>
      <xdr:rowOff>114300</xdr:rowOff>
    </xdr:from>
    <xdr:ext cx="6285865" cy="4562475"/>
    <xdr:graphicFrame>
      <xdr:nvGraphicFramePr>
        <xdr:cNvPr id="31" name="Chart 21" title="Chart"/>
        <xdr:cNvGraphicFramePr/>
      </xdr:nvGraphicFramePr>
      <xdr:xfrm>
        <a:off x="285750" y="3543300"/>
        <a:ext cx="6285865" cy="4562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9</xdr:col>
      <xdr:colOff>19050</xdr:colOff>
      <xdr:row>7</xdr:row>
      <xdr:rowOff>85090</xdr:rowOff>
    </xdr:from>
    <xdr:ext cx="8580755" cy="1981200"/>
    <xdr:graphicFrame>
      <xdr:nvGraphicFramePr>
        <xdr:cNvPr id="32" name="Chart 22" title="Chart"/>
        <xdr:cNvGraphicFramePr/>
      </xdr:nvGraphicFramePr>
      <xdr:xfrm>
        <a:off x="8677275" y="1418590"/>
        <a:ext cx="8580755" cy="1981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0</xdr:col>
      <xdr:colOff>314325</xdr:colOff>
      <xdr:row>7</xdr:row>
      <xdr:rowOff>85725</xdr:rowOff>
    </xdr:from>
    <xdr:ext cx="8257540" cy="1990090"/>
    <xdr:graphicFrame>
      <xdr:nvGraphicFramePr>
        <xdr:cNvPr id="33" name="Chart 23" title="Chart"/>
        <xdr:cNvGraphicFramePr/>
      </xdr:nvGraphicFramePr>
      <xdr:xfrm>
        <a:off x="314325" y="1419225"/>
        <a:ext cx="8257540" cy="19900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619125</xdr:colOff>
      <xdr:row>2</xdr:row>
      <xdr:rowOff>66675</xdr:rowOff>
    </xdr:from>
    <xdr:ext cx="10553065" cy="5095875"/>
    <xdr:graphicFrame>
      <xdr:nvGraphicFramePr>
        <xdr:cNvPr id="18" name="Chart 18" title="Chart"/>
        <xdr:cNvGraphicFramePr/>
      </xdr:nvGraphicFramePr>
      <xdr:xfrm>
        <a:off x="2543175" y="447675"/>
        <a:ext cx="10553065" cy="5095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438150</xdr:colOff>
      <xdr:row>4</xdr:row>
      <xdr:rowOff>180975</xdr:rowOff>
    </xdr:from>
    <xdr:ext cx="5524500" cy="3562350"/>
    <xdr:graphicFrame>
      <xdr:nvGraphicFramePr>
        <xdr:cNvPr id="19" name="Chart 19" title="Chart"/>
        <xdr:cNvGraphicFramePr/>
      </xdr:nvGraphicFramePr>
      <xdr:xfrm>
        <a:off x="4286250" y="942975"/>
        <a:ext cx="5524500" cy="3562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219075</xdr:colOff>
      <xdr:row>1</xdr:row>
      <xdr:rowOff>47625</xdr:rowOff>
    </xdr:from>
    <xdr:ext cx="7324725" cy="3124200"/>
    <xdr:graphicFrame>
      <xdr:nvGraphicFramePr>
        <xdr:cNvPr id="20" name="Chart 20" title="Chart"/>
        <xdr:cNvGraphicFramePr/>
      </xdr:nvGraphicFramePr>
      <xdr:xfrm>
        <a:off x="3371850" y="238125"/>
        <a:ext cx="7324725" cy="312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123825</xdr:colOff>
      <xdr:row>0</xdr:row>
      <xdr:rowOff>9525</xdr:rowOff>
    </xdr:from>
    <xdr:ext cx="4791075" cy="2962275"/>
    <xdr:graphicFrame>
      <xdr:nvGraphicFramePr>
        <xdr:cNvPr id="21" name="Chart 21" title="Chart"/>
        <xdr:cNvGraphicFramePr/>
      </xdr:nvGraphicFramePr>
      <xdr:xfrm>
        <a:off x="3495675" y="9525"/>
        <a:ext cx="4791075" cy="2962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523875</xdr:colOff>
      <xdr:row>15</xdr:row>
      <xdr:rowOff>133350</xdr:rowOff>
    </xdr:from>
    <xdr:ext cx="10180955" cy="3924300"/>
    <xdr:graphicFrame>
      <xdr:nvGraphicFramePr>
        <xdr:cNvPr id="22" name="Chart 22" title="Chart"/>
        <xdr:cNvGraphicFramePr/>
      </xdr:nvGraphicFramePr>
      <xdr:xfrm>
        <a:off x="523875" y="2990850"/>
        <a:ext cx="10180955" cy="3924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447675</xdr:colOff>
      <xdr:row>8</xdr:row>
      <xdr:rowOff>57150</xdr:rowOff>
    </xdr:from>
    <xdr:ext cx="7238365" cy="3218815"/>
    <xdr:graphicFrame>
      <xdr:nvGraphicFramePr>
        <xdr:cNvPr id="23" name="Chart 23" title="Chart"/>
        <xdr:cNvGraphicFramePr/>
      </xdr:nvGraphicFramePr>
      <xdr:xfrm>
        <a:off x="3333750" y="1581150"/>
        <a:ext cx="7238365" cy="3218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invalid="1" refreshOnLoad="1" refreshedVersion="5" refreshedDate="46299.8155555556" refreshedBy="singh" recordCount="150">
  <cacheSource type="worksheet">
    <worksheetSource ref="A1:O151" sheet="Sales_Data"/>
  </cacheSource>
  <cacheFields count="15">
    <cacheField name="Region" numFmtId="0">
      <sharedItems count="7">
        <s v="Australia and Oceania"/>
        <s v="Europe"/>
        <s v="North America"/>
        <s v="Asia"/>
        <s v="Central America and the Caribbean"/>
        <s v="Sub-Saharan Africa"/>
        <s v="Middle East and North Africa"/>
      </sharedItems>
    </cacheField>
    <cacheField name="Country" numFmtId="0">
      <sharedItems count="25">
        <s v="Fiji"/>
        <s v="Estonia"/>
        <s v="Canada"/>
        <s v="India"/>
        <s v="Montenegro"/>
        <s v="Jamaica"/>
        <s v="Sudan"/>
        <s v="Australia"/>
        <s v="USA"/>
        <s v="Japan"/>
        <s v="Senegal"/>
        <s v="Eritrea"/>
        <s v="Cape Verde"/>
        <s v="Armenia"/>
        <s v="Libya"/>
        <s v="Saudi Arabia"/>
        <s v="Federated States of Micronesia"/>
        <s v="Greece"/>
        <s v="Panama"/>
        <s v="Maldives"/>
        <s v="UK"/>
        <s v="Egypt"/>
        <s v="Chad"/>
        <s v="Greenland"/>
        <s v="Bulgaria"/>
      </sharedItems>
    </cacheField>
    <cacheField name="Item Type" numFmtId="0">
      <sharedItems count="10">
        <s v="Household"/>
        <s v="Cosmetics"/>
        <s v="Beverages"/>
        <s v="Office Supplies"/>
        <s v="Cereal"/>
        <s v="Vegetables"/>
        <s v="Baby Food"/>
        <s v="Fruits"/>
        <s v="Snacks"/>
        <s v="Clothes"/>
      </sharedItems>
    </cacheField>
    <cacheField name="Rep Name" numFmtId="0">
      <sharedItems count="22">
        <s v="Gavin Gill"/>
        <s v="Sean Glover"/>
        <s v="Karen Clark"/>
        <s v="Robert Davies"/>
        <s v="Diana Black"/>
        <s v="Katherine Scott"/>
        <s v="Victor Reid"/>
        <s v="Nicholas McLean"/>
        <s v="Justin Scott"/>
        <s v="Jack MacLeod"/>
        <s v="Lauren Marshall"/>
        <s v="Trevor Hemmings"/>
        <s v="Molly Jackson"/>
        <s v="Jan Johnston"/>
        <s v="Piers MacLeod"/>
        <s v="Evan Vaughan"/>
        <s v="Rose Paige"/>
        <s v="Liam Wilkins"/>
        <s v="Irene Hill"/>
        <s v="Jan Dyer"/>
        <s v="Amy Hemmings"/>
        <s v="Sam King"/>
      </sharedItems>
    </cacheField>
    <cacheField name="Sales Channel" numFmtId="0">
      <sharedItems count="2">
        <s v="Offline"/>
        <s v="Online"/>
      </sharedItems>
    </cacheField>
    <cacheField name="Order Priority" numFmtId="0">
      <sharedItems count="4">
        <s v="C"/>
        <s v="M"/>
        <s v="L"/>
        <s v="H"/>
      </sharedItems>
    </cacheField>
    <cacheField name="Order Date" numFmtId="178">
      <sharedItems containsSemiMixedTypes="0" containsString="0" containsNonDate="0" containsDate="1" minDate="2010-01-04T00:00:00" maxDate="2017-12-24T00:00:00" count="146">
        <d v="2011-04-12T00:00:00"/>
        <d v="2012-02-09T00:00:00"/>
        <d v="2016-04-19T00:00:00"/>
        <d v="2017-06-27T00:00:00"/>
        <d v="2011-08-24T00:00:00"/>
        <d v="2016-12-31T00:00:00"/>
        <d v="2012-10-18T00:00:00"/>
        <d v="2015-06-05T00:00:00"/>
        <d v="2010-12-04T00:00:00"/>
        <d v="2017-01-12T00:00:00"/>
        <d v="2011-02-23T00:00:00"/>
        <d v="2010-07-20T00:00:00"/>
        <d v="2015-03-11T00:00:00"/>
        <d v="2011-05-18T00:00:00"/>
        <d v="2012-05-13T00:00:00"/>
        <d v="2011-06-25T00:00:00"/>
        <d v="2017-05-17T00:00:00"/>
        <d v="2013-11-09T00:00:00"/>
        <d v="2014-01-19T00:00:00"/>
        <d v="2015-06-22T00:00:00"/>
        <d v="2014-06-25T00:00:00"/>
        <d v="2016-08-29T00:00:00"/>
        <d v="2012-04-15T00:00:00"/>
        <d v="2010-07-17T00:00:00"/>
        <d v="2011-10-22T00:00:00"/>
        <d v="2015-01-18T00:00:00"/>
        <d v="2016-11-25T00:00:00"/>
        <d v="2012-10-13T00:00:00"/>
        <d v="2014-08-10T00:00:00"/>
        <d v="2013-12-14T00:00:00"/>
        <d v="2015-04-04T00:00:00"/>
        <d v="2012-03-26T00:00:00"/>
        <d v="2012-08-12T00:00:00"/>
        <d v="2016-10-21T00:00:00"/>
        <d v="2011-03-29T00:00:00"/>
        <d v="2014-11-04T00:00:00"/>
        <d v="2013-02-13T00:00:00"/>
        <d v="2011-07-24T00:00:00"/>
        <d v="2016-12-12T00:00:00"/>
        <d v="2014-09-02T00:00:00"/>
        <d v="2011-11-16T00:00:00"/>
        <d v="2012-04-13T00:00:00"/>
        <d v="2016-06-10T00:00:00"/>
        <d v="2010-01-05T00:00:00"/>
        <d v="2010-09-26T00:00:00"/>
        <d v="2015-01-28T00:00:00"/>
        <d v="2013-01-24T00:00:00"/>
        <d v="2016-04-13T00:00:00"/>
        <d v="2012-10-05T00:00:00"/>
        <d v="2017-01-13T00:00:00"/>
        <d v="2017-09-17T00:00:00"/>
        <d v="2017-06-30T00:00:00"/>
        <d v="2013-12-11T00:00:00"/>
        <d v="2017-08-06T00:00:00"/>
        <d v="2012-04-05T00:00:00"/>
        <d v="2016-11-09T00:00:00"/>
        <d v="2015-11-14T00:00:00"/>
        <d v="2017-12-24T00:00:00"/>
        <d v="2016-10-28T00:00:00"/>
        <d v="2010-05-24T00:00:00"/>
        <d v="2013-03-13T00:00:00"/>
        <d v="2013-03-02T00:00:00"/>
        <d v="2012-08-11T00:00:00"/>
        <d v="2017-10-13T00:00:00"/>
        <d v="2015-01-31T00:00:00"/>
        <d v="2014-12-16T00:00:00"/>
        <d v="2012-01-24T00:00:00"/>
        <d v="2016-08-31T00:00:00"/>
        <d v="2010-05-14T00:00:00"/>
        <d v="2013-06-06T00:00:00"/>
        <d v="2017-05-27T00:00:00"/>
        <d v="2011-10-30T00:00:00"/>
        <d v="2015-05-01T00:00:00"/>
        <d v="2010-09-13T00:00:00"/>
        <d v="2016-01-03T00:00:00"/>
        <d v="2014-06-22T00:00:00"/>
        <d v="2015-03-09T00:00:00"/>
        <d v="2013-03-14T00:00:00"/>
        <d v="2014-01-09T00:00:00"/>
        <d v="2012-02-10T00:00:00"/>
        <d v="2017-08-17T00:00:00"/>
        <d v="2010-06-15T00:00:00"/>
        <d v="2015-12-21T00:00:00"/>
        <d v="2017-02-06T00:00:00"/>
        <d v="2017-12-05T00:00:00"/>
        <d v="2011-10-29T00:00:00"/>
        <d v="2011-11-13T00:00:00"/>
        <d v="2016-07-25T00:00:00"/>
        <d v="2010-12-31T00:00:00"/>
        <d v="2014-03-12T00:00:00"/>
        <d v="2012-11-28T00:00:00"/>
        <d v="2015-09-04T00:00:00"/>
        <d v="2014-02-02T00:00:00"/>
        <d v="2017-07-02T00:00:00"/>
        <d v="2013-12-31T00:00:00"/>
        <d v="2010-08-31T00:00:00"/>
        <d v="2010-01-04T00:00:00"/>
        <d v="2014-01-04T00:00:00"/>
        <d v="2011-12-25T00:00:00"/>
        <d v="2017-12-02T00:00:00"/>
        <d v="2015-08-23T00:00:00"/>
        <d v="2015-06-18T00:00:00"/>
        <d v="2010-08-24T00:00:00"/>
        <d v="2017-01-04T00:00:00"/>
        <d v="2017-10-16T00:00:00"/>
        <d v="2012-12-01T00:00:00"/>
        <d v="2011-07-29T00:00:00"/>
        <d v="2015-11-22T00:00:00"/>
        <d v="2014-01-11T00:00:00"/>
        <d v="2013-01-25T00:00:00"/>
        <d v="2011-06-01T00:00:00"/>
        <d v="2015-08-25T00:00:00"/>
        <d v="2012-03-04T00:00:00"/>
        <d v="2011-12-13T00:00:00"/>
        <d v="2014-06-28T00:00:00"/>
        <d v="2011-08-27T00:00:00"/>
        <d v="2013-12-01T00:00:00"/>
        <d v="2015-01-29T00:00:00"/>
        <d v="2016-06-18T00:00:00"/>
        <d v="2011-04-20T00:00:00"/>
        <d v="2015-06-14T00:00:00"/>
        <d v="2012-08-24T00:00:00"/>
        <d v="2014-11-28T00:00:00"/>
        <d v="2017-06-10T00:00:00"/>
        <d v="2017-03-22T00:00:00"/>
        <d v="2015-04-05T00:00:00"/>
        <d v="2015-11-05T00:00:00"/>
        <d v="2016-10-26T00:00:00"/>
        <d v="2013-07-11T00:00:00"/>
        <d v="2011-03-28T00:00:00"/>
        <d v="2010-11-26T00:00:00"/>
        <d v="2017-11-02T00:00:00"/>
        <d v="2011-01-31T00:00:00"/>
        <d v="2015-03-06T00:00:00"/>
        <d v="2017-01-17T00:00:00"/>
        <d v="2016-12-16T00:00:00"/>
        <d v="2015-12-16T00:00:00"/>
        <d v="2013-11-02T00:00:00"/>
        <d v="2011-09-02T00:00:00"/>
        <d v="2017-05-05T00:00:00"/>
        <d v="2010-04-08T00:00:00"/>
        <d v="2014-10-29T00:00:00"/>
        <d v="2017-07-23T00:00:00"/>
        <d v="2010-05-11T00:00:00"/>
        <d v="2017-06-01T00:00:00"/>
        <d v="2013-01-17T00:00:00"/>
      </sharedItems>
    </cacheField>
    <cacheField name="Order ID" numFmtId="0">
      <sharedItems containsSemiMixedTypes="0" containsString="0" containsNumber="1" containsInteger="1" minValue="110047595" maxValue="997600872" count="150">
        <n v="349467210"/>
        <n v="454088427"/>
        <n v="277077808"/>
        <n v="572190436"/>
        <n v="350814705"/>
        <n v="247697582"/>
        <n v="993102645"/>
        <n v="520477197"/>
        <n v="558502041"/>
        <n v="722261376"/>
        <n v="555094650"/>
        <n v="956634123"/>
        <n v="689324250"/>
        <n v="273660954"/>
        <n v="376406835"/>
        <n v="928299788"/>
        <n v="330519835"/>
        <n v="860672189"/>
        <n v="819024776"/>
        <n v="180705119"/>
        <n v="172073914"/>
        <n v="876124029"/>
        <n v="613911991"/>
        <n v="253651082"/>
        <n v="171244178"/>
        <n v="733816999"/>
        <n v="278017694"/>
        <n v="499873327"/>
        <n v="731833730"/>
        <n v="825799015"/>
        <n v="924183605"/>
        <n v="600229623"/>
        <n v="165293686"/>
        <n v="663236122"/>
        <n v="409255683"/>
        <n v="865872407"/>
        <n v="919956639"/>
        <n v="400910439"/>
        <n v="411603161"/>
        <n v="358185058"/>
        <n v="744090176"/>
        <n v="436210646"/>
        <n v="328773646"/>
        <n v="466564547"/>
        <n v="276383634"/>
        <n v="865854846"/>
        <n v="788042471"/>
        <n v="383627673"/>
        <n v="552949741"/>
        <n v="687037795"/>
        <n v="890118380"/>
        <n v="715418235"/>
        <n v="767225929"/>
        <n v="768823641"/>
        <n v="647488156"/>
        <n v="344103359"/>
        <n v="603011990"/>
        <n v="755209744"/>
        <n v="492073291"/>
        <n v="285588834"/>
        <n v="491727212"/>
        <n v="691434966"/>
        <n v="534318588"/>
        <n v="449390340"/>
        <n v="369722099"/>
        <n v="848277850"/>
        <n v="406974333"/>
        <n v="745202424"/>
        <n v="340539820"/>
        <n v="331302370"/>
        <n v="295190712"/>
        <n v="828769657"/>
        <n v="227833288"/>
        <n v="587114542"/>
        <n v="746035632"/>
        <n v="674890494"/>
        <n v="338077364"/>
        <n v="961330509"/>
        <n v="837448816"/>
        <n v="385124544"/>
        <n v="698552461"/>
        <n v="564233777"/>
        <n v="244538583"/>
        <n v="731675779"/>
        <n v="518387393"/>
        <n v="745535690"/>
        <n v="840108209"/>
        <n v="480974484"/>
        <n v="444024793"/>
        <n v="215438617"/>
        <n v="257553165"/>
        <n v="947879673"/>
        <n v="483129685"/>
        <n v="551419529"/>
        <n v="348001134"/>
        <n v="561946175"/>
        <n v="756524997"/>
        <n v="788899111"/>
        <n v="388072325"/>
        <n v="343794766"/>
        <n v="228161931"/>
        <n v="322580384"/>
        <n v="357158785"/>
        <n v="555704101"/>
        <n v="885713012"/>
        <n v="419859605"/>
        <n v="805516244"/>
        <n v="885901969"/>
        <n v="432800992"/>
        <n v="602073266"/>
        <n v="652457838"/>
        <n v="222715546"/>
        <n v="495488096"/>
        <n v="271200135"/>
        <n v="511011140"/>
        <n v="262906457"/>
        <n v="539000043"/>
        <n v="558337657"/>
        <n v="586353709"/>
        <n v="563402894"/>
        <n v="458626216"/>
        <n v="823507546"/>
        <n v="245509876"/>
        <n v="997600872"/>
        <n v="388091276"/>
        <n v="636767792"/>
        <n v="247986933"/>
        <n v="580115612"/>
        <n v="485640223"/>
        <n v="547142965"/>
        <n v="337575970"/>
        <n v="705941941"/>
        <n v="992864662"/>
        <n v="494352531"/>
        <n v="633215492"/>
        <n v="227812971"/>
        <n v="278817575"/>
        <n v="668122009"/>
        <n v="379406633"/>
        <n v="986572630"/>
        <n v="671651820"/>
        <n v="814181627"/>
        <n v="698270100"/>
        <n v="902427637"/>
        <n v="981483258"/>
        <n v="799192960"/>
        <n v="110047595"/>
        <n v="960012873"/>
        <n v="781969366"/>
        <n v="929681210"/>
      </sharedItems>
    </cacheField>
    <cacheField name="Ship Date" numFmtId="178">
      <sharedItems containsSemiMixedTypes="0" containsString="0" containsNonDate="0" containsDate="1" minDate="2010-01-23T00:00:00" maxDate="2018-01-27T00:00:00" count="147">
        <d v="2011-05-09T00:00:00"/>
        <d v="2012-03-08T00:00:00"/>
        <d v="2016-05-18T00:00:00"/>
        <d v="2017-07-04T00:00:00"/>
        <d v="2011-09-11T00:00:00"/>
        <d v="2017-01-12T00:00:00"/>
        <d v="2012-10-28T00:00:00"/>
        <d v="2015-07-15T00:00:00"/>
        <d v="2011-01-01T00:00:00"/>
        <d v="2017-02-09T00:00:00"/>
        <d v="2011-04-01T00:00:00"/>
        <d v="2010-08-01T00:00:00"/>
        <d v="2015-04-06T00:00:00"/>
        <d v="2011-06-05T00:00:00"/>
        <d v="2012-06-25T00:00:00"/>
        <d v="2011-08-04T00:00:00"/>
        <d v="2017-06-18T00:00:00"/>
        <d v="2013-12-10T00:00:00"/>
        <d v="2014-02-19T00:00:00"/>
        <d v="2015-07-28T00:00:00"/>
        <d v="2014-07-16T00:00:00"/>
        <d v="2016-09-21T00:00:00"/>
        <d v="2012-04-30T00:00:00"/>
        <d v="2010-08-12T00:00:00"/>
        <d v="2011-12-01T00:00:00"/>
        <d v="2015-02-24T00:00:00"/>
        <d v="2016-12-22T00:00:00"/>
        <d v="2012-10-19T00:00:00"/>
        <d v="2014-08-30T00:00:00"/>
        <d v="2014-01-25T00:00:00"/>
        <d v="2015-04-26T00:00:00"/>
        <d v="2012-04-19T00:00:00"/>
        <d v="2012-09-07T00:00:00"/>
        <d v="2016-11-02T00:00:00"/>
        <d v="2011-04-21T00:00:00"/>
        <d v="2014-12-15T00:00:00"/>
        <d v="2013-03-10T00:00:00"/>
        <d v="2011-07-31T00:00:00"/>
        <d v="2016-12-18T00:00:00"/>
        <d v="2014-10-02T00:00:00"/>
        <d v="2011-12-10T00:00:00"/>
        <d v="2012-05-19T00:00:00"/>
        <d v="2016-06-20T00:00:00"/>
        <d v="2010-02-17T00:00:00"/>
        <d v="2010-10-30T00:00:00"/>
        <d v="2013-02-22T00:00:00"/>
        <d v="2016-04-20T00:00:00"/>
        <d v="2012-11-08T00:00:00"/>
        <d v="2017-01-22T00:00:00"/>
        <d v="2017-09-26T00:00:00"/>
        <d v="2017-08-08T00:00:00"/>
        <d v="2014-01-24T00:00:00"/>
        <d v="2017-08-27T00:00:00"/>
        <d v="2012-04-20T00:00:00"/>
        <d v="2016-12-07T00:00:00"/>
        <d v="2015-12-12T00:00:00"/>
        <d v="2018-01-27T00:00:00"/>
        <d v="2016-11-20T00:00:00"/>
        <d v="2010-06-02T00:00:00"/>
        <d v="2013-04-25T00:00:00"/>
        <d v="2013-04-10T00:00:00"/>
        <d v="2012-09-01T00:00:00"/>
        <d v="2017-10-19T00:00:00"/>
        <d v="2015-02-26T00:00:00"/>
        <d v="2015-01-28T00:00:00"/>
        <d v="2012-02-25T00:00:00"/>
        <d v="2016-09-17T00:00:00"/>
        <d v="2010-06-19T00:00:00"/>
        <d v="2013-07-16T00:00:00"/>
        <d v="2017-06-23T00:00:00"/>
        <d v="2011-11-11T00:00:00"/>
        <d v="2015-05-22T00:00:00"/>
        <d v="2010-09-22T00:00:00"/>
        <d v="2016-02-08T00:00:00"/>
        <d v="2014-07-31T00:00:00"/>
        <d v="2015-03-16T00:00:00"/>
        <d v="2013-04-08T00:00:00"/>
        <d v="2014-01-14T00:00:00"/>
        <d v="2012-02-26T00:00:00"/>
        <d v="2013-07-01T00:00:00"/>
        <d v="2017-09-28T00:00:00"/>
        <d v="2010-07-22T00:00:00"/>
        <d v="2016-01-23T00:00:00"/>
        <d v="2017-02-16T00:00:00"/>
        <d v="2018-01-09T00:00:00"/>
        <d v="2011-12-09T00:00:00"/>
        <d v="2017-02-24T00:00:00"/>
        <d v="2016-08-15T00:00:00"/>
        <d v="2011-01-30T00:00:00"/>
        <d v="2014-04-03T00:00:00"/>
        <d v="2012-12-19T00:00:00"/>
        <d v="2015-09-12T00:00:00"/>
        <d v="2014-03-12T00:00:00"/>
        <d v="2017-08-01T00:00:00"/>
        <d v="2014-01-26T00:00:00"/>
        <d v="2010-10-05T00:00:00"/>
        <d v="2010-01-23T00:00:00"/>
        <d v="2014-01-10T00:00:00"/>
        <d v="2012-01-31T00:00:00"/>
        <d v="2017-12-09T00:00:00"/>
        <d v="2015-10-06T00:00:00"/>
        <d v="2015-07-07T00:00:00"/>
        <d v="2010-09-11T00:00:00"/>
        <d v="2017-02-17T00:00:00"/>
        <d v="2017-11-24T00:00:00"/>
        <d v="2012-12-30T00:00:00"/>
        <d v="2011-08-17T00:00:00"/>
        <d v="2016-01-04T00:00:00"/>
        <d v="2014-01-30T00:00:00"/>
        <d v="2013-03-07T00:00:00"/>
        <d v="2011-06-15T00:00:00"/>
        <d v="2015-09-27T00:00:00"/>
        <d v="2012-04-04T00:00:00"/>
        <d v="2012-01-09T00:00:00"/>
        <d v="2014-07-14T00:00:00"/>
        <d v="2011-10-01T00:00:00"/>
        <d v="2013-12-06T00:00:00"/>
        <d v="2015-03-14T00:00:00"/>
        <d v="2016-07-18T00:00:00"/>
        <d v="2011-05-28T00:00:00"/>
        <d v="2015-06-24T00:00:00"/>
        <d v="2012-09-14T00:00:00"/>
        <d v="2015-01-03T00:00:00"/>
        <d v="2017-07-13T00:00:00"/>
        <d v="2017-03-28T00:00:00"/>
        <d v="2015-04-17T00:00:00"/>
        <d v="2015-12-07T00:00:00"/>
        <d v="2016-11-07T00:00:00"/>
        <d v="2013-08-18T00:00:00"/>
        <d v="2011-05-08T00:00:00"/>
        <d v="2010-12-07T00:00:00"/>
        <d v="2017-11-11T00:00:00"/>
        <d v="2011-02-24T00:00:00"/>
        <d v="2015-04-01T00:00:00"/>
        <d v="2017-01-30T00:00:00"/>
        <d v="2016-12-24T00:00:00"/>
        <d v="2016-01-10T00:00:00"/>
        <d v="2013-11-18T00:00:00"/>
        <d v="2011-09-18T00:00:00"/>
        <d v="2017-05-11T00:00:00"/>
        <d v="2012-04-06T00:00:00"/>
        <d v="2010-05-06T00:00:00"/>
        <d v="2014-11-19T00:00:00"/>
        <d v="2017-09-05T00:00:00"/>
        <d v="2010-06-21T00:00:00"/>
        <d v="2017-06-22T00:00:00"/>
        <d v="2013-02-02T00:00:00"/>
      </sharedItems>
    </cacheField>
    <cacheField name="Units Sold" numFmtId="0">
      <sharedItems containsSemiMixedTypes="0" containsString="0" containsNumber="1" containsInteger="1" minValue="409" maxValue="9961" count="149">
        <n v="5978"/>
        <n v="7349"/>
        <n v="9066"/>
        <n v="4290"/>
        <n v="7913"/>
        <n v="8626"/>
        <n v="4243"/>
        <n v="8029"/>
        <n v="5259"/>
        <n v="2427"/>
        <n v="6292"/>
        <n v="3504"/>
        <n v="5456"/>
        <n v="4888"/>
        <n v="5516"/>
        <n v="3557"/>
        <n v="4027"/>
        <n v="7176"/>
        <n v="4813"/>
        <n v="1895"/>
        <n v="5137"/>
        <n v="5649"/>
        <n v="4618"/>
        <n v="6687"/>
        <n v="9961"/>
        <n v="6159"/>
        <n v="4461"/>
        <n v="4948"/>
        <n v="4899"/>
        <n v="8845"/>
        <n v="1356"/>
        <n v="6415"/>
        <n v="1445"/>
        <n v="625"/>
        <n v="5042"/>
        <n v="3820"/>
        <n v="6502"/>
        <n v="3133"/>
        <n v="1184"/>
        <n v="2241"/>
        <n v="7055"/>
        <n v="1253"/>
        <n v="2891"/>
        <n v="5269"/>
        <n v="5152"/>
        <n v="7960"/>
        <n v="7804"/>
        <n v="2079"/>
        <n v="7017"/>
        <n v="3249"/>
        <n v="5011"/>
        <n v="4400"/>
        <n v="1466"/>
        <n v="9367"/>
        <n v="7943"/>
        <n v="3186"/>
        <n v="7757"/>
        <n v="9187"/>
        <n v="4760"/>
        <n v="4891"/>
        <n v="8260"/>
        <n v="9324"/>
        <n v="1942"/>
        <n v="6572"/>
        <n v="9102"/>
        <n v="9305"/>
        <n v="9673"/>
        <n v="1614"/>
        <n v="2252"/>
        <n v="6590"/>
        <n v="7514"/>
        <n v="7219"/>
        <n v="6532"/>
        <n v="409"/>
        <n v="7849"/>
        <n v="784"/>
        <n v="7590"/>
        <n v="7000"/>
        <n v="3819"/>
        <n v="1477"/>
        <n v="5073"/>
        <n v="6641"/>
        <n v="9950"/>
        <n v="537"/>
        <n v="4700"/>
        <n v="6431"/>
        <n v="7177"/>
        <n v="7381"/>
        <n v="7640"/>
        <n v="1676"/>
        <n v="5526"/>
        <n v="8041"/>
        <n v="8658"/>
        <n v="8343"/>
        <n v="2161"/>
        <n v="2005"/>
        <n v="4724"/>
        <n v="517"/>
        <n v="6716"/>
        <n v="2448"/>
        <n v="9493"/>
        <n v="2019"/>
        <n v="3890"/>
        <n v="8967"/>
        <n v="6351"/>
        <n v="3298"/>
        <n v="9910"/>
        <n v="3112"/>
        <n v="8789"/>
        <n v="6188"/>
        <n v="1350"/>
        <n v="6428"/>
        <n v="2771"/>
        <n v="6179"/>
        <n v="8954"/>
        <n v="4851"/>
        <n v="6424"/>
        <n v="6132"/>
        <n v="3108"/>
        <n v="8370"/>
        <n v="4000"/>
        <n v="6375"/>
        <n v="1088"/>
        <n v="9581"/>
        <n v="4924"/>
        <n v="5483"/>
        <n v="8438"/>
        <n v="3862"/>
        <n v="3710"/>
        <n v="2543"/>
        <n v="7012"/>
        <n v="4642"/>
        <n v="3994"/>
        <n v="1204"/>
        <n v="3079"/>
        <n v="4433"/>
        <n v="9033"/>
        <n v="5875"/>
        <n v="8441"/>
        <n v="6536"/>
        <n v="6341"/>
        <n v="4250"/>
        <n v="6612"/>
        <n v="6522"/>
        <n v="1640"/>
        <n v="8763"/>
        <n v="4040"/>
        <n v="6004"/>
        <n v="4393"/>
      </sharedItems>
    </cacheField>
    <cacheField name="Unit Price" numFmtId="2">
      <sharedItems containsSemiMixedTypes="0" containsString="0" containsNumber="1" minValue="9.33" maxValue="668.27" count="10">
        <n v="668.27"/>
        <n v="437.2"/>
        <n v="47.45"/>
        <n v="651.21"/>
        <n v="205.7"/>
        <n v="154.06"/>
        <n v="255.28"/>
        <n v="9.33"/>
        <n v="152.58"/>
        <n v="109.28"/>
      </sharedItems>
    </cacheField>
    <cacheField name="Unit Cost" numFmtId="2">
      <sharedItems containsSemiMixedTypes="0" containsString="0" containsNumber="1" minValue="6.92" maxValue="524.96" count="10">
        <n v="502.54"/>
        <n v="263.33"/>
        <n v="31.79"/>
        <n v="524.96"/>
        <n v="117.11"/>
        <n v="90.93"/>
        <n v="159.42"/>
        <n v="6.92"/>
        <n v="97.44"/>
        <n v="35.84"/>
      </sharedItems>
    </cacheField>
    <cacheField name="Total Revenue" numFmtId="2">
      <sharedItems containsSemiMixedTypes="0" containsString="0" containsNumber="1" minValue="13677.78" maxValue="5856050.01" count="150">
        <n v="3994918.06"/>
        <n v="4911116.23"/>
        <n v="3963655.2"/>
        <n v="203560.5"/>
        <n v="5153024.73"/>
        <n v="1774368.2"/>
        <n v="872785.1"/>
        <n v="1236947.74"/>
        <n v="3514431.93"/>
        <n v="1580486.67"/>
        <n v="1606221.76"/>
        <n v="166264.8"/>
        <n v="3646081.12"/>
        <n v="1247808.64"/>
        <n v="261734.2"/>
        <n v="33186.81"/>
        <n v="191081.15"/>
        <n v="340501.2"/>
        <n v="3134273.73"/>
        <n v="483755.6"/>
        <n v="2245896.4"/>
        <n v="861924.42"/>
        <n v="219124.1"/>
        <n v="730755.36"/>
        <n v="1088538.08"/>
        <n v="1572269.52"/>
        <n v="2981152.47"/>
        <n v="754965.84"/>
        <n v="747489.42"/>
        <n v="3867034"/>
        <n v="883040.76"/>
        <n v="1319565.5"/>
        <n v="631754"/>
        <n v="68300"/>
        <n v="2204362.4"/>
        <n v="35640.6"/>
        <n v="60663.66"/>
        <n v="482669.98"/>
        <n v="129387.52"/>
        <n v="244896.48"/>
        <n v="334759.75"/>
        <n v="319865.84"/>
        <n v="137177.95"/>
        <n v="3521114.63"/>
        <n v="1315202.56"/>
        <n v="377702"/>
        <n v="3411908.8"/>
        <n v="317213.82"/>
        <n v="766817.76"/>
        <n v="1420462.8"/>
        <n v="237771.95"/>
        <n v="1923680"/>
        <n v="13677.78"/>
        <n v="1443080.02"/>
        <n v="376895.35"/>
        <n v="29725.38"/>
        <n v="1595614.9"/>
        <n v="4016556.4"/>
        <n v="1215132.8"/>
        <n v="1006078.7"/>
        <n v="77065.8"/>
        <n v="1422655.92"/>
        <n v="299184.52"/>
        <n v="4391870.44"/>
        <n v="2323558.56"/>
        <n v="1914038.5"/>
        <n v="1475906.34"/>
        <n v="1078587.78"/>
        <n v="1466524.92"/>
        <n v="720155.2"/>
        <n v="3285120.8"/>
        <n v="4824241.13"/>
        <n v="1006319.92"/>
        <n v="104409.52"/>
        <n v="73231.17"/>
        <n v="85675.52"/>
        <n v="3318348"/>
        <n v="65310"/>
        <n v="974914.32"/>
        <n v="70083.65"/>
        <n v="3303588.33"/>
        <n v="1013283.78"/>
        <n v="2540036"/>
        <n v="81935.46"/>
        <n v="2054840"/>
        <n v="1641705.68"/>
        <n v="4796173.79"/>
        <n v="68864.73"/>
        <n v="4975244.4"/>
        <n v="1091427.96"/>
        <n v="262208.7"/>
        <n v="1121310.42"/>
        <n v="5236379.61"/>
        <n v="5638176.18"/>
        <n v="1285322.58"/>
        <n v="102539.45"/>
        <n v="219106.4"/>
        <n v="3156907.48"/>
        <n v="79649.02"/>
        <n v="4488101.32"/>
        <n v="267517.44"/>
        <n v="1037395.04"/>
        <n v="18837.27"/>
        <n v="36293.7"/>
        <n v="3920372.4"/>
        <n v="978435.06"/>
        <n v="2147690.58"/>
        <n v="470229.5"/>
        <n v="794431.36"/>
        <n v="1341025.62"/>
        <n v="944165.04"/>
        <n v="205983"/>
        <n v="1322239.6"/>
        <n v="569994.7"/>
        <n v="951936.74"/>
        <n v="424867.3"/>
        <n v="3241777.77"/>
        <n v="4292966.48"/>
        <n v="4097831.64"/>
        <n v="639315.6"/>
        <n v="78092.1"/>
        <n v="189800"/>
        <n v="1627410"/>
        <n v="118896.64"/>
        <n v="1047011.68"/>
        <n v="3290561.48"/>
        <n v="3664124.41"/>
        <n v="922104.64"/>
        <n v="183251.9"/>
        <n v="2415989.1"/>
        <n v="649177.04"/>
        <n v="4685909.24"/>
        <n v="708276.36"/>
        <n v="821565.8"/>
        <n v="185488.24"/>
        <n v="2005075.59"/>
        <n v="676387.14"/>
        <n v="1378255.14"/>
        <n v="905102.5"/>
        <n v="1300420.46"/>
        <n v="4256308.56"/>
        <n v="2772285.2"/>
        <n v="1084940"/>
        <n v="1008858.96"/>
        <n v="1341575.4"/>
        <n v="77818"/>
        <n v="5856050.01"/>
        <n v="441491.2"/>
        <n v="4012293.08"/>
        <n v="480067.04"/>
      </sharedItems>
    </cacheField>
    <cacheField name="Total Cost" numFmtId="2">
      <sharedItems containsSemiMixedTypes="0" containsString="0" containsNumber="1" minValue="10144.72" maxValue="4545103.68" count="150">
        <n v="3004184.12"/>
        <n v="3693166.46"/>
        <n v="2387349.78"/>
        <n v="136379.1"/>
        <n v="4154008.48"/>
        <n v="1010190.86"/>
        <n v="496897.73"/>
        <n v="730076.97"/>
        <n v="2642857.86"/>
        <n v="1274077.92"/>
        <n v="1003070.64"/>
        <n v="111392.16"/>
        <n v="2741858.24"/>
        <n v="779244.96"/>
        <n v="175353.64"/>
        <n v="24614.44"/>
        <n v="128018.33"/>
        <n v="228125.04"/>
        <n v="2526632.48"/>
        <n v="302100.9"/>
        <n v="1352726.21"/>
        <n v="550438.56"/>
        <n v="146806.22"/>
        <n v="239662.08"/>
        <n v="357002.24"/>
        <n v="981867.78"/>
        <n v="2241830.94"/>
        <n v="482133.12"/>
        <n v="477358.56"/>
        <n v="2329153.85"/>
        <n v="711845.76"/>
        <n v="751260.65"/>
        <n v="380511.85"/>
        <n v="22400"/>
        <n v="1327709.86"/>
        <n v="26434.4"/>
        <n v="44993.84"/>
        <n v="284883.69"/>
        <n v="42434.56"/>
        <n v="80317.44"/>
        <n v="224278.45"/>
        <n v="199753.26"/>
        <n v="91904.89"/>
        <n v="2647883.26"/>
        <n v="821331.84"/>
        <n v="253048.4"/>
        <n v="2055027.32"/>
        <n v="202577.76"/>
        <n v="251489.28"/>
        <n v="855559.17"/>
        <n v="159299.69"/>
        <n v="1158652"/>
        <n v="10144.72"/>
        <n v="851741.31"/>
        <n v="252507.97"/>
        <n v="22047.12"/>
        <n v="908422.27"/>
        <n v="2419212.71"/>
        <n v="758839.2"/>
        <n v="572785.01"/>
        <n v="57159.2"/>
        <n v="908530.56"/>
        <n v="176586.06"/>
        <n v="3302692.88"/>
        <n v="1451040.84"/>
        <n v="1089708.55"/>
        <n v="942537.12"/>
        <n v="811099.56"/>
        <n v="1182209.92"/>
        <n v="236185.6"/>
        <n v="1978661.62"/>
        <n v="3627836.26"/>
        <n v="593954.76"/>
        <n v="65202.78"/>
        <n v="54315.08"/>
        <n v="28098.56"/>
        <n v="1998674.7"/>
        <n v="48440"/>
        <n v="608824.98"/>
        <n v="46953.83"/>
        <n v="2663122.08"/>
        <n v="647099.04"/>
        <n v="1586229"/>
        <n v="52325.28"/>
        <n v="1237651"/>
        <n v="1025230.02"/>
        <n v="3606729.58"/>
        <n v="51076.52"/>
        <n v="4010694.4"/>
        <n v="879832.96"/>
        <n v="175671.54"/>
        <n v="716086.56"/>
        <n v="4221203.36"/>
        <n v="4545103.68"/>
        <n v="758628.99"/>
        <n v="68698.19"/>
        <n v="71859.2"/>
        <n v="2373998.96"/>
        <n v="47010.81"/>
        <n v="3375058.64"/>
        <n v="87736.32"/>
        <n v="340229.12"/>
        <n v="13971.48"/>
        <n v="26918.8"/>
        <n v="2361280.11"/>
        <n v="577496.43"/>
        <n v="1731318.08"/>
        <n v="315038.9"/>
        <n v="496115.04"/>
        <n v="856400.16"/>
        <n v="602958.72"/>
        <n v="131544"/>
        <n v="752783.08"/>
        <n v="324511.81"/>
        <n v="561856.47"/>
        <n v="284647.66"/>
        <n v="2437821.54"/>
        <n v="3228316.96"/>
        <n v="3081575.28"/>
        <n v="363977.88"/>
        <n v="57920.4"/>
        <n v="127160"/>
        <n v="1016302.5"/>
        <n v="38993.92"/>
        <n v="343383.04"/>
        <n v="2474506.96"/>
        <n v="2755426.82"/>
        <n v="302417.92"/>
        <n v="122772.98"/>
        <n v="1947601.6"/>
        <n v="405405.06"/>
        <n v="3523810.48"/>
        <n v="452316.48"/>
        <n v="467737.34"/>
        <n v="109479.72"/>
        <n v="1616351.84"/>
        <n v="431951.52"/>
        <n v="880175.52"/>
        <n v="534213.75"/>
        <n v="767540.13"/>
        <n v="3431138.56"/>
        <n v="1669775.53"/>
        <n v="677535"/>
        <n v="644273.28"/>
        <n v="763791.42"/>
        <n v="52135.6"/>
        <n v="4403758.02"/>
        <n v="144793.6"/>
        <n v="3017250.16"/>
        <n v="157445.12"/>
      </sharedItems>
    </cacheField>
    <cacheField name="Total Profit" numFmtId="2">
      <sharedItems containsSemiMixedTypes="0" containsString="0" containsNumber="1" minValue="3533.06" maxValue="1597343.69" count="150">
        <n v="990733.94"/>
        <n v="1217949.77"/>
        <n v="1576305.42"/>
        <n v="67181.4"/>
        <n v="999016.25"/>
        <n v="764177.34"/>
        <n v="375887.37"/>
        <n v="506870.77"/>
        <n v="871574.069999999"/>
        <n v="306408.75"/>
        <n v="603151.12"/>
        <n v="54872.64"/>
        <n v="904222.88"/>
        <n v="468563.68"/>
        <n v="86380.56"/>
        <n v="8572.37"/>
        <n v="63062.82"/>
        <n v="112376.16"/>
        <n v="607641.25"/>
        <n v="181654.7"/>
        <n v="893170.19"/>
        <n v="311485.86"/>
        <n v="72317.88"/>
        <n v="491093.28"/>
        <n v="731535.84"/>
        <n v="590401.74"/>
        <n v="739321.53"/>
        <n v="272832.72"/>
        <n v="270130.86"/>
        <n v="1537880.15"/>
        <n v="171195"/>
        <n v="568304.85"/>
        <n v="251242.15"/>
        <n v="45900"/>
        <n v="876652.54"/>
        <n v="9206.2"/>
        <n v="15669.82"/>
        <n v="197786.29"/>
        <n v="86952.96"/>
        <n v="164579.04"/>
        <n v="110481.3"/>
        <n v="120112.58"/>
        <n v="45273.06"/>
        <n v="873231.37"/>
        <n v="493870.72"/>
        <n v="124653.6"/>
        <n v="1356881.48"/>
        <n v="114636.06"/>
        <n v="515328.48"/>
        <n v="564903.63"/>
        <n v="78472.26"/>
        <n v="765028"/>
        <n v="3533.06"/>
        <n v="591338.71"/>
        <n v="124387.38"/>
        <n v="7678.26"/>
        <n v="687192.63"/>
        <n v="1597343.69"/>
        <n v="456293.6"/>
        <n v="433293.69"/>
        <n v="19906.6"/>
        <n v="514125.36"/>
        <n v="122598.46"/>
        <n v="1089177.56"/>
        <n v="872517.72"/>
        <n v="824329.95"/>
        <n v="533369.22"/>
        <n v="267488.22"/>
        <n v="284315"/>
        <n v="483969.6"/>
        <n v="1306459.18"/>
        <n v="1196404.87"/>
        <n v="412365.16"/>
        <n v="39206.74"/>
        <n v="18916.09"/>
        <n v="57576.96"/>
        <n v="1319673.3"/>
        <n v="16870"/>
        <n v="366089.34"/>
        <n v="23129.82"/>
        <n v="640466.25"/>
        <n v="366184.74"/>
        <n v="953807"/>
        <n v="29610.18"/>
        <n v="817189"/>
        <n v="616475.66"/>
        <n v="1189444.21"/>
        <n v="17788.21"/>
        <n v="964550"/>
        <n v="211595"/>
        <n v="86537.16"/>
        <n v="405223.86"/>
        <n v="1015176.25"/>
        <n v="1093072.5"/>
        <n v="526693.59"/>
        <n v="33841.26"/>
        <n v="147247.2"/>
        <n v="782908.52"/>
        <n v="32638.21"/>
        <n v="1113042.68"/>
        <n v="179781.12"/>
        <n v="697165.92"/>
        <n v="4865.79"/>
        <n v="9374.9"/>
        <n v="1559092.29"/>
        <n v="400938.63"/>
        <n v="416372.5"/>
        <n v="155190.6"/>
        <n v="298316.32"/>
        <n v="484625.46"/>
        <n v="341206.32"/>
        <n v="74439"/>
        <n v="569456.52"/>
        <n v="245482.89"/>
        <n v="390080.27"/>
        <n v="140219.64"/>
        <n v="803956.23"/>
        <n v="1064649.52"/>
        <n v="1016256.36"/>
        <n v="275337.72"/>
        <n v="20171.7"/>
        <n v="62640"/>
        <n v="611107.5"/>
        <n v="79902.72"/>
        <n v="703628.64"/>
        <n v="816054.52"/>
        <n v="908697.589999999"/>
        <n v="619686.72"/>
        <n v="60478.92"/>
        <n v="468387.5"/>
        <n v="243771.98"/>
        <n v="1162098.76"/>
        <n v="255959.88"/>
        <n v="353828.46"/>
        <n v="76008.52"/>
        <n v="388723.75"/>
        <n v="244435.62"/>
        <n v="498079.62"/>
        <n v="370888.75"/>
        <n v="532880.33"/>
        <n v="825170.000000001"/>
        <n v="1102509.67"/>
        <n v="407405"/>
        <n v="364585.68"/>
        <n v="577783.98"/>
        <n v="25682.4"/>
        <n v="1452291.99"/>
        <n v="296697.6"/>
        <n v="995042.92"/>
        <n v="322621.92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invalid="1" refreshOnLoad="1" refreshedVersion="5" refreshedDate="46299.8155555556" refreshedBy="singh" recordCount="150">
  <cacheSource type="worksheet">
    <worksheetSource ref="A1:O151" sheet="Sales_Data"/>
  </cacheSource>
  <cacheFields count="15">
    <cacheField name="Region" numFmtId="0">
      <sharedItems count="7">
        <s v="Australia and Oceania"/>
        <s v="Europe"/>
        <s v="North America"/>
        <s v="Asia"/>
        <s v="Central America and the Caribbean"/>
        <s v="Sub-Saharan Africa"/>
        <s v="Middle East and North Africa"/>
      </sharedItems>
    </cacheField>
    <cacheField name="Country" numFmtId="0">
      <sharedItems count="25">
        <s v="Fiji"/>
        <s v="Estonia"/>
        <s v="Canada"/>
        <s v="India"/>
        <s v="Montenegro"/>
        <s v="Jamaica"/>
        <s v="Sudan"/>
        <s v="Australia"/>
        <s v="USA"/>
        <s v="Japan"/>
        <s v="Senegal"/>
        <s v="Eritrea"/>
        <s v="Cape Verde"/>
        <s v="Armenia"/>
        <s v="Libya"/>
        <s v="Saudi Arabia"/>
        <s v="Federated States of Micronesia"/>
        <s v="Greece"/>
        <s v="Panama"/>
        <s v="Maldives"/>
        <s v="UK"/>
        <s v="Egypt"/>
        <s v="Chad"/>
        <s v="Greenland"/>
        <s v="Bulgaria"/>
      </sharedItems>
    </cacheField>
    <cacheField name="Item Type" numFmtId="0">
      <sharedItems count="10">
        <s v="Household"/>
        <s v="Cosmetics"/>
        <s v="Beverages"/>
        <s v="Office Supplies"/>
        <s v="Cereal"/>
        <s v="Vegetables"/>
        <s v="Baby Food"/>
        <s v="Fruits"/>
        <s v="Snacks"/>
        <s v="Clothes"/>
      </sharedItems>
    </cacheField>
    <cacheField name="Rep Name" numFmtId="0">
      <sharedItems count="22">
        <s v="Gavin Gill"/>
        <s v="Sean Glover"/>
        <s v="Karen Clark"/>
        <s v="Robert Davies"/>
        <s v="Diana Black"/>
        <s v="Katherine Scott"/>
        <s v="Victor Reid"/>
        <s v="Nicholas McLean"/>
        <s v="Justin Scott"/>
        <s v="Jack MacLeod"/>
        <s v="Lauren Marshall"/>
        <s v="Trevor Hemmings"/>
        <s v="Molly Jackson"/>
        <s v="Jan Johnston"/>
        <s v="Piers MacLeod"/>
        <s v="Evan Vaughan"/>
        <s v="Rose Paige"/>
        <s v="Liam Wilkins"/>
        <s v="Irene Hill"/>
        <s v="Jan Dyer"/>
        <s v="Amy Hemmings"/>
        <s v="Sam King"/>
      </sharedItems>
    </cacheField>
    <cacheField name="Sales Channel" numFmtId="0">
      <sharedItems count="2">
        <s v="Offline"/>
        <s v="Online"/>
      </sharedItems>
    </cacheField>
    <cacheField name="Order Priority" numFmtId="0">
      <sharedItems count="4">
        <s v="C"/>
        <s v="M"/>
        <s v="L"/>
        <s v="H"/>
      </sharedItems>
    </cacheField>
    <cacheField name="Order Date" numFmtId="0">
      <sharedItems containsSemiMixedTypes="0" containsString="0" containsNonDate="0" containsDate="1" minDate="2010-01-04T00:00:00" maxDate="2017-12-24T00:00:00" count="146">
        <d v="2011-04-12T00:00:00"/>
        <d v="2012-02-09T00:00:00"/>
        <d v="2016-04-19T00:00:00"/>
        <d v="2017-06-27T00:00:00"/>
        <d v="2011-08-24T00:00:00"/>
        <d v="2016-12-31T00:00:00"/>
        <d v="2012-10-18T00:00:00"/>
        <d v="2015-06-05T00:00:00"/>
        <d v="2010-12-04T00:00:00"/>
        <d v="2017-01-12T00:00:00"/>
        <d v="2011-02-23T00:00:00"/>
        <d v="2010-07-20T00:00:00"/>
        <d v="2015-03-11T00:00:00"/>
        <d v="2011-05-18T00:00:00"/>
        <d v="2012-05-13T00:00:00"/>
        <d v="2011-06-25T00:00:00"/>
        <d v="2017-05-17T00:00:00"/>
        <d v="2013-11-09T00:00:00"/>
        <d v="2014-01-19T00:00:00"/>
        <d v="2015-06-22T00:00:00"/>
        <d v="2014-06-25T00:00:00"/>
        <d v="2016-08-29T00:00:00"/>
        <d v="2012-04-15T00:00:00"/>
        <d v="2010-07-17T00:00:00"/>
        <d v="2011-10-22T00:00:00"/>
        <d v="2015-01-18T00:00:00"/>
        <d v="2016-11-25T00:00:00"/>
        <d v="2012-10-13T00:00:00"/>
        <d v="2014-08-10T00:00:00"/>
        <d v="2013-12-14T00:00:00"/>
        <d v="2015-04-04T00:00:00"/>
        <d v="2012-03-26T00:00:00"/>
        <d v="2012-08-12T00:00:00"/>
        <d v="2016-10-21T00:00:00"/>
        <d v="2011-03-29T00:00:00"/>
        <d v="2014-11-04T00:00:00"/>
        <d v="2013-02-13T00:00:00"/>
        <d v="2011-07-24T00:00:00"/>
        <d v="2016-12-12T00:00:00"/>
        <d v="2014-09-02T00:00:00"/>
        <d v="2011-11-16T00:00:00"/>
        <d v="2012-04-13T00:00:00"/>
        <d v="2016-06-10T00:00:00"/>
        <d v="2010-01-05T00:00:00"/>
        <d v="2010-09-26T00:00:00"/>
        <d v="2015-01-28T00:00:00"/>
        <d v="2013-01-24T00:00:00"/>
        <d v="2016-04-13T00:00:00"/>
        <d v="2012-10-05T00:00:00"/>
        <d v="2017-01-13T00:00:00"/>
        <d v="2017-09-17T00:00:00"/>
        <d v="2017-06-30T00:00:00"/>
        <d v="2013-12-11T00:00:00"/>
        <d v="2017-08-06T00:00:00"/>
        <d v="2012-04-05T00:00:00"/>
        <d v="2016-11-09T00:00:00"/>
        <d v="2015-11-14T00:00:00"/>
        <d v="2017-12-24T00:00:00"/>
        <d v="2016-10-28T00:00:00"/>
        <d v="2010-05-24T00:00:00"/>
        <d v="2013-03-13T00:00:00"/>
        <d v="2013-03-02T00:00:00"/>
        <d v="2012-08-11T00:00:00"/>
        <d v="2017-10-13T00:00:00"/>
        <d v="2015-01-31T00:00:00"/>
        <d v="2014-12-16T00:00:00"/>
        <d v="2012-01-24T00:00:00"/>
        <d v="2016-08-31T00:00:00"/>
        <d v="2010-05-14T00:00:00"/>
        <d v="2013-06-06T00:00:00"/>
        <d v="2017-05-27T00:00:00"/>
        <d v="2011-10-30T00:00:00"/>
        <d v="2015-05-01T00:00:00"/>
        <d v="2010-09-13T00:00:00"/>
        <d v="2016-01-03T00:00:00"/>
        <d v="2014-06-22T00:00:00"/>
        <d v="2015-03-09T00:00:00"/>
        <d v="2013-03-14T00:00:00"/>
        <d v="2014-01-09T00:00:00"/>
        <d v="2012-02-10T00:00:00"/>
        <d v="2017-08-17T00:00:00"/>
        <d v="2010-06-15T00:00:00"/>
        <d v="2015-12-21T00:00:00"/>
        <d v="2017-02-06T00:00:00"/>
        <d v="2017-12-05T00:00:00"/>
        <d v="2011-10-29T00:00:00"/>
        <d v="2011-11-13T00:00:00"/>
        <d v="2016-07-25T00:00:00"/>
        <d v="2010-12-31T00:00:00"/>
        <d v="2014-03-12T00:00:00"/>
        <d v="2012-11-28T00:00:00"/>
        <d v="2015-09-04T00:00:00"/>
        <d v="2014-02-02T00:00:00"/>
        <d v="2017-07-02T00:00:00"/>
        <d v="2013-12-31T00:00:00"/>
        <d v="2010-08-31T00:00:00"/>
        <d v="2010-01-04T00:00:00"/>
        <d v="2014-01-04T00:00:00"/>
        <d v="2011-12-25T00:00:00"/>
        <d v="2017-12-02T00:00:00"/>
        <d v="2015-08-23T00:00:00"/>
        <d v="2015-06-18T00:00:00"/>
        <d v="2010-08-24T00:00:00"/>
        <d v="2017-01-04T00:00:00"/>
        <d v="2017-10-16T00:00:00"/>
        <d v="2012-12-01T00:00:00"/>
        <d v="2011-07-29T00:00:00"/>
        <d v="2015-11-22T00:00:00"/>
        <d v="2014-01-11T00:00:00"/>
        <d v="2013-01-25T00:00:00"/>
        <d v="2011-06-01T00:00:00"/>
        <d v="2015-08-25T00:00:00"/>
        <d v="2012-03-04T00:00:00"/>
        <d v="2011-12-13T00:00:00"/>
        <d v="2014-06-28T00:00:00"/>
        <d v="2011-08-27T00:00:00"/>
        <d v="2013-12-01T00:00:00"/>
        <d v="2015-01-29T00:00:00"/>
        <d v="2016-06-18T00:00:00"/>
        <d v="2011-04-20T00:00:00"/>
        <d v="2015-06-14T00:00:00"/>
        <d v="2012-08-24T00:00:00"/>
        <d v="2014-11-28T00:00:00"/>
        <d v="2017-06-10T00:00:00"/>
        <d v="2017-03-22T00:00:00"/>
        <d v="2015-04-05T00:00:00"/>
        <d v="2015-11-05T00:00:00"/>
        <d v="2016-10-26T00:00:00"/>
        <d v="2013-07-11T00:00:00"/>
        <d v="2011-03-28T00:00:00"/>
        <d v="2010-11-26T00:00:00"/>
        <d v="2017-11-02T00:00:00"/>
        <d v="2011-01-31T00:00:00"/>
        <d v="2015-03-06T00:00:00"/>
        <d v="2017-01-17T00:00:00"/>
        <d v="2016-12-16T00:00:00"/>
        <d v="2015-12-16T00:00:00"/>
        <d v="2013-11-02T00:00:00"/>
        <d v="2011-09-02T00:00:00"/>
        <d v="2017-05-05T00:00:00"/>
        <d v="2010-04-08T00:00:00"/>
        <d v="2014-10-29T00:00:00"/>
        <d v="2017-07-23T00:00:00"/>
        <d v="2010-05-11T00:00:00"/>
        <d v="2017-06-01T00:00:00"/>
        <d v="2013-01-17T00:00:00"/>
      </sharedItems>
      <fieldGroup base="6">
        <rangePr groupBy="years" startDate="2010-01-04T00:00:00" endDate="2017-12-24T00:00:00" groupInterval="1"/>
        <groupItems count="10">
          <s v="&lt;1/4/2010"/>
          <s v="2010"/>
          <s v="2011"/>
          <s v="2012"/>
          <s v="2013"/>
          <s v="2014"/>
          <s v="2015"/>
          <s v="2016"/>
          <s v="2017"/>
          <s v="&gt;12/24/2017"/>
        </groupItems>
      </fieldGroup>
    </cacheField>
    <cacheField name="Order ID" numFmtId="0">
      <sharedItems containsSemiMixedTypes="0" containsString="0" containsNumber="1" containsInteger="1" minValue="110047595" maxValue="997600872" count="150">
        <n v="349467210"/>
        <n v="454088427"/>
        <n v="277077808"/>
        <n v="572190436"/>
        <n v="350814705"/>
        <n v="247697582"/>
        <n v="993102645"/>
        <n v="520477197"/>
        <n v="558502041"/>
        <n v="722261376"/>
        <n v="555094650"/>
        <n v="956634123"/>
        <n v="689324250"/>
        <n v="273660954"/>
        <n v="376406835"/>
        <n v="928299788"/>
        <n v="330519835"/>
        <n v="860672189"/>
        <n v="819024776"/>
        <n v="180705119"/>
        <n v="172073914"/>
        <n v="876124029"/>
        <n v="613911991"/>
        <n v="253651082"/>
        <n v="171244178"/>
        <n v="733816999"/>
        <n v="278017694"/>
        <n v="499873327"/>
        <n v="731833730"/>
        <n v="825799015"/>
        <n v="924183605"/>
        <n v="600229623"/>
        <n v="165293686"/>
        <n v="663236122"/>
        <n v="409255683"/>
        <n v="865872407"/>
        <n v="919956639"/>
        <n v="400910439"/>
        <n v="411603161"/>
        <n v="358185058"/>
        <n v="744090176"/>
        <n v="436210646"/>
        <n v="328773646"/>
        <n v="466564547"/>
        <n v="276383634"/>
        <n v="865854846"/>
        <n v="788042471"/>
        <n v="383627673"/>
        <n v="552949741"/>
        <n v="687037795"/>
        <n v="890118380"/>
        <n v="715418235"/>
        <n v="767225929"/>
        <n v="768823641"/>
        <n v="647488156"/>
        <n v="344103359"/>
        <n v="603011990"/>
        <n v="755209744"/>
        <n v="492073291"/>
        <n v="285588834"/>
        <n v="491727212"/>
        <n v="691434966"/>
        <n v="534318588"/>
        <n v="449390340"/>
        <n v="369722099"/>
        <n v="848277850"/>
        <n v="406974333"/>
        <n v="745202424"/>
        <n v="340539820"/>
        <n v="331302370"/>
        <n v="295190712"/>
        <n v="828769657"/>
        <n v="227833288"/>
        <n v="587114542"/>
        <n v="746035632"/>
        <n v="674890494"/>
        <n v="338077364"/>
        <n v="961330509"/>
        <n v="837448816"/>
        <n v="385124544"/>
        <n v="698552461"/>
        <n v="564233777"/>
        <n v="244538583"/>
        <n v="731675779"/>
        <n v="518387393"/>
        <n v="745535690"/>
        <n v="840108209"/>
        <n v="480974484"/>
        <n v="444024793"/>
        <n v="215438617"/>
        <n v="257553165"/>
        <n v="947879673"/>
        <n v="483129685"/>
        <n v="551419529"/>
        <n v="348001134"/>
        <n v="561946175"/>
        <n v="756524997"/>
        <n v="788899111"/>
        <n v="388072325"/>
        <n v="343794766"/>
        <n v="228161931"/>
        <n v="322580384"/>
        <n v="357158785"/>
        <n v="555704101"/>
        <n v="885713012"/>
        <n v="419859605"/>
        <n v="805516244"/>
        <n v="885901969"/>
        <n v="432800992"/>
        <n v="602073266"/>
        <n v="652457838"/>
        <n v="222715546"/>
        <n v="495488096"/>
        <n v="271200135"/>
        <n v="511011140"/>
        <n v="262906457"/>
        <n v="539000043"/>
        <n v="558337657"/>
        <n v="586353709"/>
        <n v="563402894"/>
        <n v="458626216"/>
        <n v="823507546"/>
        <n v="245509876"/>
        <n v="997600872"/>
        <n v="388091276"/>
        <n v="636767792"/>
        <n v="247986933"/>
        <n v="580115612"/>
        <n v="485640223"/>
        <n v="547142965"/>
        <n v="337575970"/>
        <n v="705941941"/>
        <n v="992864662"/>
        <n v="494352531"/>
        <n v="633215492"/>
        <n v="227812971"/>
        <n v="278817575"/>
        <n v="668122009"/>
        <n v="379406633"/>
        <n v="986572630"/>
        <n v="671651820"/>
        <n v="814181627"/>
        <n v="698270100"/>
        <n v="902427637"/>
        <n v="981483258"/>
        <n v="799192960"/>
        <n v="110047595"/>
        <n v="960012873"/>
        <n v="781969366"/>
        <n v="929681210"/>
      </sharedItems>
    </cacheField>
    <cacheField name="Ship Date" numFmtId="178">
      <sharedItems containsSemiMixedTypes="0" containsString="0" containsNonDate="0" containsDate="1" minDate="2010-01-23T00:00:00" maxDate="2018-01-27T00:00:00" count="147">
        <d v="2011-05-09T00:00:00"/>
        <d v="2012-03-08T00:00:00"/>
        <d v="2016-05-18T00:00:00"/>
        <d v="2017-07-04T00:00:00"/>
        <d v="2011-09-11T00:00:00"/>
        <d v="2017-01-12T00:00:00"/>
        <d v="2012-10-28T00:00:00"/>
        <d v="2015-07-15T00:00:00"/>
        <d v="2011-01-01T00:00:00"/>
        <d v="2017-02-09T00:00:00"/>
        <d v="2011-04-01T00:00:00"/>
        <d v="2010-08-01T00:00:00"/>
        <d v="2015-04-06T00:00:00"/>
        <d v="2011-06-05T00:00:00"/>
        <d v="2012-06-25T00:00:00"/>
        <d v="2011-08-04T00:00:00"/>
        <d v="2017-06-18T00:00:00"/>
        <d v="2013-12-10T00:00:00"/>
        <d v="2014-02-19T00:00:00"/>
        <d v="2015-07-28T00:00:00"/>
        <d v="2014-07-16T00:00:00"/>
        <d v="2016-09-21T00:00:00"/>
        <d v="2012-04-30T00:00:00"/>
        <d v="2010-08-12T00:00:00"/>
        <d v="2011-12-01T00:00:00"/>
        <d v="2015-02-24T00:00:00"/>
        <d v="2016-12-22T00:00:00"/>
        <d v="2012-10-19T00:00:00"/>
        <d v="2014-08-30T00:00:00"/>
        <d v="2014-01-25T00:00:00"/>
        <d v="2015-04-26T00:00:00"/>
        <d v="2012-04-19T00:00:00"/>
        <d v="2012-09-07T00:00:00"/>
        <d v="2016-11-02T00:00:00"/>
        <d v="2011-04-21T00:00:00"/>
        <d v="2014-12-15T00:00:00"/>
        <d v="2013-03-10T00:00:00"/>
        <d v="2011-07-31T00:00:00"/>
        <d v="2016-12-18T00:00:00"/>
        <d v="2014-10-02T00:00:00"/>
        <d v="2011-12-10T00:00:00"/>
        <d v="2012-05-19T00:00:00"/>
        <d v="2016-06-20T00:00:00"/>
        <d v="2010-02-17T00:00:00"/>
        <d v="2010-10-30T00:00:00"/>
        <d v="2013-02-22T00:00:00"/>
        <d v="2016-04-20T00:00:00"/>
        <d v="2012-11-08T00:00:00"/>
        <d v="2017-01-22T00:00:00"/>
        <d v="2017-09-26T00:00:00"/>
        <d v="2017-08-08T00:00:00"/>
        <d v="2014-01-24T00:00:00"/>
        <d v="2017-08-27T00:00:00"/>
        <d v="2012-04-20T00:00:00"/>
        <d v="2016-12-07T00:00:00"/>
        <d v="2015-12-12T00:00:00"/>
        <d v="2018-01-27T00:00:00"/>
        <d v="2016-11-20T00:00:00"/>
        <d v="2010-06-02T00:00:00"/>
        <d v="2013-04-25T00:00:00"/>
        <d v="2013-04-10T00:00:00"/>
        <d v="2012-09-01T00:00:00"/>
        <d v="2017-10-19T00:00:00"/>
        <d v="2015-02-26T00:00:00"/>
        <d v="2015-01-28T00:00:00"/>
        <d v="2012-02-25T00:00:00"/>
        <d v="2016-09-17T00:00:00"/>
        <d v="2010-06-19T00:00:00"/>
        <d v="2013-07-16T00:00:00"/>
        <d v="2017-06-23T00:00:00"/>
        <d v="2011-11-11T00:00:00"/>
        <d v="2015-05-22T00:00:00"/>
        <d v="2010-09-22T00:00:00"/>
        <d v="2016-02-08T00:00:00"/>
        <d v="2014-07-31T00:00:00"/>
        <d v="2015-03-16T00:00:00"/>
        <d v="2013-04-08T00:00:00"/>
        <d v="2014-01-14T00:00:00"/>
        <d v="2012-02-26T00:00:00"/>
        <d v="2013-07-01T00:00:00"/>
        <d v="2017-09-28T00:00:00"/>
        <d v="2010-07-22T00:00:00"/>
        <d v="2016-01-23T00:00:00"/>
        <d v="2017-02-16T00:00:00"/>
        <d v="2018-01-09T00:00:00"/>
        <d v="2011-12-09T00:00:00"/>
        <d v="2017-02-24T00:00:00"/>
        <d v="2016-08-15T00:00:00"/>
        <d v="2011-01-30T00:00:00"/>
        <d v="2014-04-03T00:00:00"/>
        <d v="2012-12-19T00:00:00"/>
        <d v="2015-09-12T00:00:00"/>
        <d v="2014-03-12T00:00:00"/>
        <d v="2017-08-01T00:00:00"/>
        <d v="2014-01-26T00:00:00"/>
        <d v="2010-10-05T00:00:00"/>
        <d v="2010-01-23T00:00:00"/>
        <d v="2014-01-10T00:00:00"/>
        <d v="2012-01-31T00:00:00"/>
        <d v="2017-12-09T00:00:00"/>
        <d v="2015-10-06T00:00:00"/>
        <d v="2015-07-07T00:00:00"/>
        <d v="2010-09-11T00:00:00"/>
        <d v="2017-02-17T00:00:00"/>
        <d v="2017-11-24T00:00:00"/>
        <d v="2012-12-30T00:00:00"/>
        <d v="2011-08-17T00:00:00"/>
        <d v="2016-01-04T00:00:00"/>
        <d v="2014-01-30T00:00:00"/>
        <d v="2013-03-07T00:00:00"/>
        <d v="2011-06-15T00:00:00"/>
        <d v="2015-09-27T00:00:00"/>
        <d v="2012-04-04T00:00:00"/>
        <d v="2012-01-09T00:00:00"/>
        <d v="2014-07-14T00:00:00"/>
        <d v="2011-10-01T00:00:00"/>
        <d v="2013-12-06T00:00:00"/>
        <d v="2015-03-14T00:00:00"/>
        <d v="2016-07-18T00:00:00"/>
        <d v="2011-05-28T00:00:00"/>
        <d v="2015-06-24T00:00:00"/>
        <d v="2012-09-14T00:00:00"/>
        <d v="2015-01-03T00:00:00"/>
        <d v="2017-07-13T00:00:00"/>
        <d v="2017-03-28T00:00:00"/>
        <d v="2015-04-17T00:00:00"/>
        <d v="2015-12-07T00:00:00"/>
        <d v="2016-11-07T00:00:00"/>
        <d v="2013-08-18T00:00:00"/>
        <d v="2011-05-08T00:00:00"/>
        <d v="2010-12-07T00:00:00"/>
        <d v="2017-11-11T00:00:00"/>
        <d v="2011-02-24T00:00:00"/>
        <d v="2015-04-01T00:00:00"/>
        <d v="2017-01-30T00:00:00"/>
        <d v="2016-12-24T00:00:00"/>
        <d v="2016-01-10T00:00:00"/>
        <d v="2013-11-18T00:00:00"/>
        <d v="2011-09-18T00:00:00"/>
        <d v="2017-05-11T00:00:00"/>
        <d v="2012-04-06T00:00:00"/>
        <d v="2010-05-06T00:00:00"/>
        <d v="2014-11-19T00:00:00"/>
        <d v="2017-09-05T00:00:00"/>
        <d v="2010-06-21T00:00:00"/>
        <d v="2017-06-22T00:00:00"/>
        <d v="2013-02-02T00:00:00"/>
      </sharedItems>
    </cacheField>
    <cacheField name="Units Sold" numFmtId="0">
      <sharedItems containsSemiMixedTypes="0" containsString="0" containsNumber="1" containsInteger="1" minValue="409" maxValue="9961" count="149">
        <n v="5978"/>
        <n v="7349"/>
        <n v="9066"/>
        <n v="4290"/>
        <n v="7913"/>
        <n v="8626"/>
        <n v="4243"/>
        <n v="8029"/>
        <n v="5259"/>
        <n v="2427"/>
        <n v="6292"/>
        <n v="3504"/>
        <n v="5456"/>
        <n v="4888"/>
        <n v="5516"/>
        <n v="3557"/>
        <n v="4027"/>
        <n v="7176"/>
        <n v="4813"/>
        <n v="1895"/>
        <n v="5137"/>
        <n v="5649"/>
        <n v="4618"/>
        <n v="6687"/>
        <n v="9961"/>
        <n v="6159"/>
        <n v="4461"/>
        <n v="4948"/>
        <n v="4899"/>
        <n v="8845"/>
        <n v="1356"/>
        <n v="6415"/>
        <n v="1445"/>
        <n v="625"/>
        <n v="5042"/>
        <n v="3820"/>
        <n v="6502"/>
        <n v="3133"/>
        <n v="1184"/>
        <n v="2241"/>
        <n v="7055"/>
        <n v="1253"/>
        <n v="2891"/>
        <n v="5269"/>
        <n v="5152"/>
        <n v="7960"/>
        <n v="7804"/>
        <n v="2079"/>
        <n v="7017"/>
        <n v="3249"/>
        <n v="5011"/>
        <n v="4400"/>
        <n v="1466"/>
        <n v="9367"/>
        <n v="7943"/>
        <n v="3186"/>
        <n v="7757"/>
        <n v="9187"/>
        <n v="4760"/>
        <n v="4891"/>
        <n v="8260"/>
        <n v="9324"/>
        <n v="1942"/>
        <n v="6572"/>
        <n v="9102"/>
        <n v="9305"/>
        <n v="9673"/>
        <n v="1614"/>
        <n v="2252"/>
        <n v="6590"/>
        <n v="7514"/>
        <n v="7219"/>
        <n v="6532"/>
        <n v="409"/>
        <n v="7849"/>
        <n v="784"/>
        <n v="7590"/>
        <n v="7000"/>
        <n v="3819"/>
        <n v="1477"/>
        <n v="5073"/>
        <n v="6641"/>
        <n v="9950"/>
        <n v="537"/>
        <n v="4700"/>
        <n v="6431"/>
        <n v="7177"/>
        <n v="7381"/>
        <n v="7640"/>
        <n v="1676"/>
        <n v="5526"/>
        <n v="8041"/>
        <n v="8658"/>
        <n v="8343"/>
        <n v="2161"/>
        <n v="2005"/>
        <n v="4724"/>
        <n v="517"/>
        <n v="6716"/>
        <n v="2448"/>
        <n v="9493"/>
        <n v="2019"/>
        <n v="3890"/>
        <n v="8967"/>
        <n v="6351"/>
        <n v="3298"/>
        <n v="9910"/>
        <n v="3112"/>
        <n v="8789"/>
        <n v="6188"/>
        <n v="1350"/>
        <n v="6428"/>
        <n v="2771"/>
        <n v="6179"/>
        <n v="8954"/>
        <n v="4851"/>
        <n v="6424"/>
        <n v="6132"/>
        <n v="3108"/>
        <n v="8370"/>
        <n v="4000"/>
        <n v="6375"/>
        <n v="1088"/>
        <n v="9581"/>
        <n v="4924"/>
        <n v="5483"/>
        <n v="8438"/>
        <n v="3862"/>
        <n v="3710"/>
        <n v="2543"/>
        <n v="7012"/>
        <n v="4642"/>
        <n v="3994"/>
        <n v="1204"/>
        <n v="3079"/>
        <n v="4433"/>
        <n v="9033"/>
        <n v="5875"/>
        <n v="8441"/>
        <n v="6536"/>
        <n v="6341"/>
        <n v="4250"/>
        <n v="6612"/>
        <n v="6522"/>
        <n v="1640"/>
        <n v="8763"/>
        <n v="4040"/>
        <n v="6004"/>
        <n v="4393"/>
      </sharedItems>
    </cacheField>
    <cacheField name="Unit Price" numFmtId="2">
      <sharedItems containsSemiMixedTypes="0" containsString="0" containsNumber="1" minValue="9.33" maxValue="668.27" count="10">
        <n v="668.27"/>
        <n v="437.2"/>
        <n v="47.45"/>
        <n v="651.21"/>
        <n v="205.7"/>
        <n v="154.06"/>
        <n v="255.28"/>
        <n v="9.33"/>
        <n v="152.58"/>
        <n v="109.28"/>
      </sharedItems>
    </cacheField>
    <cacheField name="Unit Cost" numFmtId="2">
      <sharedItems containsSemiMixedTypes="0" containsString="0" containsNumber="1" minValue="6.92" maxValue="524.96" count="10">
        <n v="502.54"/>
        <n v="263.33"/>
        <n v="31.79"/>
        <n v="524.96"/>
        <n v="117.11"/>
        <n v="90.93"/>
        <n v="159.42"/>
        <n v="6.92"/>
        <n v="97.44"/>
        <n v="35.84"/>
      </sharedItems>
    </cacheField>
    <cacheField name="Total Revenue" numFmtId="2">
      <sharedItems containsSemiMixedTypes="0" containsString="0" containsNumber="1" minValue="13677.78" maxValue="5856050.01" count="150">
        <n v="3994918.06"/>
        <n v="4911116.23"/>
        <n v="3963655.2"/>
        <n v="203560.5"/>
        <n v="5153024.73"/>
        <n v="1774368.2"/>
        <n v="872785.1"/>
        <n v="1236947.74"/>
        <n v="3514431.93"/>
        <n v="1580486.67"/>
        <n v="1606221.76"/>
        <n v="166264.8"/>
        <n v="3646081.12"/>
        <n v="1247808.64"/>
        <n v="261734.2"/>
        <n v="33186.81"/>
        <n v="191081.15"/>
        <n v="340501.2"/>
        <n v="3134273.73"/>
        <n v="483755.6"/>
        <n v="2245896.4"/>
        <n v="861924.42"/>
        <n v="219124.1"/>
        <n v="730755.36"/>
        <n v="1088538.08"/>
        <n v="1572269.52"/>
        <n v="2981152.47"/>
        <n v="754965.84"/>
        <n v="747489.42"/>
        <n v="3867034"/>
        <n v="883040.76"/>
        <n v="1319565.5"/>
        <n v="631754"/>
        <n v="68300"/>
        <n v="2204362.4"/>
        <n v="35640.6"/>
        <n v="60663.66"/>
        <n v="482669.98"/>
        <n v="129387.52"/>
        <n v="244896.48"/>
        <n v="334759.75"/>
        <n v="319865.84"/>
        <n v="137177.95"/>
        <n v="3521114.63"/>
        <n v="1315202.56"/>
        <n v="377702"/>
        <n v="3411908.8"/>
        <n v="317213.82"/>
        <n v="766817.76"/>
        <n v="1420462.8"/>
        <n v="237771.95"/>
        <n v="1923680"/>
        <n v="13677.78"/>
        <n v="1443080.02"/>
        <n v="376895.35"/>
        <n v="29725.38"/>
        <n v="1595614.9"/>
        <n v="4016556.4"/>
        <n v="1215132.8"/>
        <n v="1006078.7"/>
        <n v="77065.8"/>
        <n v="1422655.92"/>
        <n v="299184.52"/>
        <n v="4391870.44"/>
        <n v="2323558.56"/>
        <n v="1914038.5"/>
        <n v="1475906.34"/>
        <n v="1078587.78"/>
        <n v="1466524.92"/>
        <n v="720155.2"/>
        <n v="3285120.8"/>
        <n v="4824241.13"/>
        <n v="1006319.92"/>
        <n v="104409.52"/>
        <n v="73231.17"/>
        <n v="85675.52"/>
        <n v="3318348"/>
        <n v="65310"/>
        <n v="974914.32"/>
        <n v="70083.65"/>
        <n v="3303588.33"/>
        <n v="1013283.78"/>
        <n v="2540036"/>
        <n v="81935.46"/>
        <n v="2054840"/>
        <n v="1641705.68"/>
        <n v="4796173.79"/>
        <n v="68864.73"/>
        <n v="4975244.4"/>
        <n v="1091427.96"/>
        <n v="262208.7"/>
        <n v="1121310.42"/>
        <n v="5236379.61"/>
        <n v="5638176.18"/>
        <n v="1285322.58"/>
        <n v="102539.45"/>
        <n v="219106.4"/>
        <n v="3156907.48"/>
        <n v="79649.02"/>
        <n v="4488101.32"/>
        <n v="267517.44"/>
        <n v="1037395.04"/>
        <n v="18837.27"/>
        <n v="36293.7"/>
        <n v="3920372.4"/>
        <n v="978435.06"/>
        <n v="2147690.58"/>
        <n v="470229.5"/>
        <n v="794431.36"/>
        <n v="1341025.62"/>
        <n v="944165.04"/>
        <n v="205983"/>
        <n v="1322239.6"/>
        <n v="569994.7"/>
        <n v="951936.74"/>
        <n v="424867.3"/>
        <n v="3241777.77"/>
        <n v="4292966.48"/>
        <n v="4097831.64"/>
        <n v="639315.6"/>
        <n v="78092.1"/>
        <n v="189800"/>
        <n v="1627410"/>
        <n v="118896.64"/>
        <n v="1047011.68"/>
        <n v="3290561.48"/>
        <n v="3664124.41"/>
        <n v="922104.64"/>
        <n v="183251.9"/>
        <n v="2415989.1"/>
        <n v="649177.04"/>
        <n v="4685909.24"/>
        <n v="708276.36"/>
        <n v="821565.8"/>
        <n v="185488.24"/>
        <n v="2005075.59"/>
        <n v="676387.14"/>
        <n v="1378255.14"/>
        <n v="905102.5"/>
        <n v="1300420.46"/>
        <n v="4256308.56"/>
        <n v="2772285.2"/>
        <n v="1084940"/>
        <n v="1008858.96"/>
        <n v="1341575.4"/>
        <n v="77818"/>
        <n v="5856050.01"/>
        <n v="441491.2"/>
        <n v="4012293.08"/>
        <n v="480067.04"/>
      </sharedItems>
    </cacheField>
    <cacheField name="Total Cost" numFmtId="2">
      <sharedItems containsSemiMixedTypes="0" containsString="0" containsNumber="1" minValue="10144.72" maxValue="4545103.68" count="150">
        <n v="3004184.12"/>
        <n v="3693166.46"/>
        <n v="2387349.78"/>
        <n v="136379.1"/>
        <n v="4154008.48"/>
        <n v="1010190.86"/>
        <n v="496897.73"/>
        <n v="730076.97"/>
        <n v="2642857.86"/>
        <n v="1274077.92"/>
        <n v="1003070.64"/>
        <n v="111392.16"/>
        <n v="2741858.24"/>
        <n v="779244.96"/>
        <n v="175353.64"/>
        <n v="24614.44"/>
        <n v="128018.33"/>
        <n v="228125.04"/>
        <n v="2526632.48"/>
        <n v="302100.9"/>
        <n v="1352726.21"/>
        <n v="550438.56"/>
        <n v="146806.22"/>
        <n v="239662.08"/>
        <n v="357002.24"/>
        <n v="981867.78"/>
        <n v="2241830.94"/>
        <n v="482133.12"/>
        <n v="477358.56"/>
        <n v="2329153.85"/>
        <n v="711845.76"/>
        <n v="751260.65"/>
        <n v="380511.85"/>
        <n v="22400"/>
        <n v="1327709.86"/>
        <n v="26434.4"/>
        <n v="44993.84"/>
        <n v="284883.69"/>
        <n v="42434.56"/>
        <n v="80317.44"/>
        <n v="224278.45"/>
        <n v="199753.26"/>
        <n v="91904.89"/>
        <n v="2647883.26"/>
        <n v="821331.84"/>
        <n v="253048.4"/>
        <n v="2055027.32"/>
        <n v="202577.76"/>
        <n v="251489.28"/>
        <n v="855559.17"/>
        <n v="159299.69"/>
        <n v="1158652"/>
        <n v="10144.72"/>
        <n v="851741.31"/>
        <n v="252507.97"/>
        <n v="22047.12"/>
        <n v="908422.27"/>
        <n v="2419212.71"/>
        <n v="758839.2"/>
        <n v="572785.01"/>
        <n v="57159.2"/>
        <n v="908530.56"/>
        <n v="176586.06"/>
        <n v="3302692.88"/>
        <n v="1451040.84"/>
        <n v="1089708.55"/>
        <n v="942537.12"/>
        <n v="811099.56"/>
        <n v="1182209.92"/>
        <n v="236185.6"/>
        <n v="1978661.62"/>
        <n v="3627836.26"/>
        <n v="593954.76"/>
        <n v="65202.78"/>
        <n v="54315.08"/>
        <n v="28098.56"/>
        <n v="1998674.7"/>
        <n v="48440"/>
        <n v="608824.98"/>
        <n v="46953.83"/>
        <n v="2663122.08"/>
        <n v="647099.04"/>
        <n v="1586229"/>
        <n v="52325.28"/>
        <n v="1237651"/>
        <n v="1025230.02"/>
        <n v="3606729.58"/>
        <n v="51076.52"/>
        <n v="4010694.4"/>
        <n v="879832.96"/>
        <n v="175671.54"/>
        <n v="716086.56"/>
        <n v="4221203.36"/>
        <n v="4545103.68"/>
        <n v="758628.99"/>
        <n v="68698.19"/>
        <n v="71859.2"/>
        <n v="2373998.96"/>
        <n v="47010.81"/>
        <n v="3375058.64"/>
        <n v="87736.32"/>
        <n v="340229.12"/>
        <n v="13971.48"/>
        <n v="26918.8"/>
        <n v="2361280.11"/>
        <n v="577496.43"/>
        <n v="1731318.08"/>
        <n v="315038.9"/>
        <n v="496115.04"/>
        <n v="856400.16"/>
        <n v="602958.72"/>
        <n v="131544"/>
        <n v="752783.08"/>
        <n v="324511.81"/>
        <n v="561856.47"/>
        <n v="284647.66"/>
        <n v="2437821.54"/>
        <n v="3228316.96"/>
        <n v="3081575.28"/>
        <n v="363977.88"/>
        <n v="57920.4"/>
        <n v="127160"/>
        <n v="1016302.5"/>
        <n v="38993.92"/>
        <n v="343383.04"/>
        <n v="2474506.96"/>
        <n v="2755426.82"/>
        <n v="302417.92"/>
        <n v="122772.98"/>
        <n v="1947601.6"/>
        <n v="405405.06"/>
        <n v="3523810.48"/>
        <n v="452316.48"/>
        <n v="467737.34"/>
        <n v="109479.72"/>
        <n v="1616351.84"/>
        <n v="431951.52"/>
        <n v="880175.52"/>
        <n v="534213.75"/>
        <n v="767540.13"/>
        <n v="3431138.56"/>
        <n v="1669775.53"/>
        <n v="677535"/>
        <n v="644273.28"/>
        <n v="763791.42"/>
        <n v="52135.6"/>
        <n v="4403758.02"/>
        <n v="144793.6"/>
        <n v="3017250.16"/>
        <n v="157445.12"/>
      </sharedItems>
    </cacheField>
    <cacheField name="Total Profit" numFmtId="2">
      <sharedItems containsSemiMixedTypes="0" containsString="0" containsNumber="1" minValue="3533.06" maxValue="1597343.69" count="150">
        <n v="990733.94"/>
        <n v="1217949.77"/>
        <n v="1576305.42"/>
        <n v="67181.4"/>
        <n v="999016.25"/>
        <n v="764177.34"/>
        <n v="375887.37"/>
        <n v="506870.77"/>
        <n v="871574.069999999"/>
        <n v="306408.75"/>
        <n v="603151.12"/>
        <n v="54872.64"/>
        <n v="904222.88"/>
        <n v="468563.68"/>
        <n v="86380.56"/>
        <n v="8572.37"/>
        <n v="63062.82"/>
        <n v="112376.16"/>
        <n v="607641.25"/>
        <n v="181654.7"/>
        <n v="893170.19"/>
        <n v="311485.86"/>
        <n v="72317.88"/>
        <n v="491093.28"/>
        <n v="731535.84"/>
        <n v="590401.74"/>
        <n v="739321.53"/>
        <n v="272832.72"/>
        <n v="270130.86"/>
        <n v="1537880.15"/>
        <n v="171195"/>
        <n v="568304.85"/>
        <n v="251242.15"/>
        <n v="45900"/>
        <n v="876652.54"/>
        <n v="9206.2"/>
        <n v="15669.82"/>
        <n v="197786.29"/>
        <n v="86952.96"/>
        <n v="164579.04"/>
        <n v="110481.3"/>
        <n v="120112.58"/>
        <n v="45273.06"/>
        <n v="873231.37"/>
        <n v="493870.72"/>
        <n v="124653.6"/>
        <n v="1356881.48"/>
        <n v="114636.06"/>
        <n v="515328.48"/>
        <n v="564903.63"/>
        <n v="78472.26"/>
        <n v="765028"/>
        <n v="3533.06"/>
        <n v="591338.71"/>
        <n v="124387.38"/>
        <n v="7678.26"/>
        <n v="687192.63"/>
        <n v="1597343.69"/>
        <n v="456293.6"/>
        <n v="433293.69"/>
        <n v="19906.6"/>
        <n v="514125.36"/>
        <n v="122598.46"/>
        <n v="1089177.56"/>
        <n v="872517.72"/>
        <n v="824329.95"/>
        <n v="533369.22"/>
        <n v="267488.22"/>
        <n v="284315"/>
        <n v="483969.6"/>
        <n v="1306459.18"/>
        <n v="1196404.87"/>
        <n v="412365.16"/>
        <n v="39206.74"/>
        <n v="18916.09"/>
        <n v="57576.96"/>
        <n v="1319673.3"/>
        <n v="16870"/>
        <n v="366089.34"/>
        <n v="23129.82"/>
        <n v="640466.25"/>
        <n v="366184.74"/>
        <n v="953807"/>
        <n v="29610.18"/>
        <n v="817189"/>
        <n v="616475.66"/>
        <n v="1189444.21"/>
        <n v="17788.21"/>
        <n v="964550"/>
        <n v="211595"/>
        <n v="86537.16"/>
        <n v="405223.86"/>
        <n v="1015176.25"/>
        <n v="1093072.5"/>
        <n v="526693.59"/>
        <n v="33841.26"/>
        <n v="147247.2"/>
        <n v="782908.52"/>
        <n v="32638.21"/>
        <n v="1113042.68"/>
        <n v="179781.12"/>
        <n v="697165.92"/>
        <n v="4865.79"/>
        <n v="9374.9"/>
        <n v="1559092.29"/>
        <n v="400938.63"/>
        <n v="416372.5"/>
        <n v="155190.6"/>
        <n v="298316.32"/>
        <n v="484625.46"/>
        <n v="341206.32"/>
        <n v="74439"/>
        <n v="569456.52"/>
        <n v="245482.89"/>
        <n v="390080.27"/>
        <n v="140219.64"/>
        <n v="803956.23"/>
        <n v="1064649.52"/>
        <n v="1016256.36"/>
        <n v="275337.72"/>
        <n v="20171.7"/>
        <n v="62640"/>
        <n v="611107.5"/>
        <n v="79902.72"/>
        <n v="703628.64"/>
        <n v="816054.52"/>
        <n v="908697.589999999"/>
        <n v="619686.72"/>
        <n v="60478.92"/>
        <n v="468387.5"/>
        <n v="243771.98"/>
        <n v="1162098.76"/>
        <n v="255959.88"/>
        <n v="353828.46"/>
        <n v="76008.52"/>
        <n v="388723.75"/>
        <n v="244435.62"/>
        <n v="498079.62"/>
        <n v="370888.75"/>
        <n v="532880.33"/>
        <n v="825170.000000001"/>
        <n v="1102509.67"/>
        <n v="407405"/>
        <n v="364585.68"/>
        <n v="577783.98"/>
        <n v="25682.4"/>
        <n v="1452291.99"/>
        <n v="296697.6"/>
        <n v="995042.92"/>
        <n v="322621.92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invalid="1" refreshOnLoad="1" refreshedVersion="5" refreshedDate="46299.8155555556" refreshedBy="singh" recordCount="150">
  <cacheSource type="worksheet">
    <worksheetSource ref="A1:O151" sheet="Sales_Data"/>
  </cacheSource>
  <cacheFields count="15">
    <cacheField name="Region" numFmtId="0">
      <sharedItems count="7">
        <s v="Australia and Oceania"/>
        <s v="Europe"/>
        <s v="North America"/>
        <s v="Asia"/>
        <s v="Central America and the Caribbean"/>
        <s v="Sub-Saharan Africa"/>
        <s v="Middle East and North Africa"/>
      </sharedItems>
    </cacheField>
    <cacheField name="Country" numFmtId="0">
      <sharedItems count="25">
        <s v="Fiji"/>
        <s v="Estonia"/>
        <s v="Canada"/>
        <s v="India"/>
        <s v="Montenegro"/>
        <s v="Jamaica"/>
        <s v="Sudan"/>
        <s v="Australia"/>
        <s v="USA"/>
        <s v="Japan"/>
        <s v="Senegal"/>
        <s v="Eritrea"/>
        <s v="Cape Verde"/>
        <s v="Armenia"/>
        <s v="Libya"/>
        <s v="Saudi Arabia"/>
        <s v="Federated States of Micronesia"/>
        <s v="Greece"/>
        <s v="Panama"/>
        <s v="Maldives"/>
        <s v="UK"/>
        <s v="Egypt"/>
        <s v="Chad"/>
        <s v="Greenland"/>
        <s v="Bulgaria"/>
      </sharedItems>
    </cacheField>
    <cacheField name="Item Type" numFmtId="0">
      <sharedItems count="10">
        <s v="Household"/>
        <s v="Cosmetics"/>
        <s v="Beverages"/>
        <s v="Office Supplies"/>
        <s v="Cereal"/>
        <s v="Vegetables"/>
        <s v="Baby Food"/>
        <s v="Fruits"/>
        <s v="Snacks"/>
        <s v="Clothes"/>
      </sharedItems>
    </cacheField>
    <cacheField name="Rep Name" numFmtId="0">
      <sharedItems count="22">
        <s v="Gavin Gill"/>
        <s v="Sean Glover"/>
        <s v="Karen Clark"/>
        <s v="Robert Davies"/>
        <s v="Diana Black"/>
        <s v="Katherine Scott"/>
        <s v="Victor Reid"/>
        <s v="Nicholas McLean"/>
        <s v="Justin Scott"/>
        <s v="Jack MacLeod"/>
        <s v="Lauren Marshall"/>
        <s v="Trevor Hemmings"/>
        <s v="Molly Jackson"/>
        <s v="Jan Johnston"/>
        <s v="Piers MacLeod"/>
        <s v="Evan Vaughan"/>
        <s v="Rose Paige"/>
        <s v="Liam Wilkins"/>
        <s v="Irene Hill"/>
        <s v="Jan Dyer"/>
        <s v="Amy Hemmings"/>
        <s v="Sam King"/>
      </sharedItems>
    </cacheField>
    <cacheField name="Sales Channel" numFmtId="0">
      <sharedItems count="2">
        <s v="Offline"/>
        <s v="Online"/>
      </sharedItems>
    </cacheField>
    <cacheField name="Order Priority" numFmtId="0">
      <sharedItems count="4">
        <s v="C"/>
        <s v="M"/>
        <s v="L"/>
        <s v="H"/>
      </sharedItems>
    </cacheField>
    <cacheField name="Order Date" numFmtId="0">
      <sharedItems containsSemiMixedTypes="0" containsString="0" containsNonDate="0" containsDate="1" minDate="2010-01-04T00:00:00" maxDate="2017-12-24T00:00:00" count="146">
        <d v="2011-04-12T00:00:00"/>
        <d v="2012-02-09T00:00:00"/>
        <d v="2016-04-19T00:00:00"/>
        <d v="2017-06-27T00:00:00"/>
        <d v="2011-08-24T00:00:00"/>
        <d v="2016-12-31T00:00:00"/>
        <d v="2012-10-18T00:00:00"/>
        <d v="2015-06-05T00:00:00"/>
        <d v="2010-12-04T00:00:00"/>
        <d v="2017-01-12T00:00:00"/>
        <d v="2011-02-23T00:00:00"/>
        <d v="2010-07-20T00:00:00"/>
        <d v="2015-03-11T00:00:00"/>
        <d v="2011-05-18T00:00:00"/>
        <d v="2012-05-13T00:00:00"/>
        <d v="2011-06-25T00:00:00"/>
        <d v="2017-05-17T00:00:00"/>
        <d v="2013-11-09T00:00:00"/>
        <d v="2014-01-19T00:00:00"/>
        <d v="2015-06-22T00:00:00"/>
        <d v="2014-06-25T00:00:00"/>
        <d v="2016-08-29T00:00:00"/>
        <d v="2012-04-15T00:00:00"/>
        <d v="2010-07-17T00:00:00"/>
        <d v="2011-10-22T00:00:00"/>
        <d v="2015-01-18T00:00:00"/>
        <d v="2016-11-25T00:00:00"/>
        <d v="2012-10-13T00:00:00"/>
        <d v="2014-08-10T00:00:00"/>
        <d v="2013-12-14T00:00:00"/>
        <d v="2015-04-04T00:00:00"/>
        <d v="2012-03-26T00:00:00"/>
        <d v="2012-08-12T00:00:00"/>
        <d v="2016-10-21T00:00:00"/>
        <d v="2011-03-29T00:00:00"/>
        <d v="2014-11-04T00:00:00"/>
        <d v="2013-02-13T00:00:00"/>
        <d v="2011-07-24T00:00:00"/>
        <d v="2016-12-12T00:00:00"/>
        <d v="2014-09-02T00:00:00"/>
        <d v="2011-11-16T00:00:00"/>
        <d v="2012-04-13T00:00:00"/>
        <d v="2016-06-10T00:00:00"/>
        <d v="2010-01-05T00:00:00"/>
        <d v="2010-09-26T00:00:00"/>
        <d v="2015-01-28T00:00:00"/>
        <d v="2013-01-24T00:00:00"/>
        <d v="2016-04-13T00:00:00"/>
        <d v="2012-10-05T00:00:00"/>
        <d v="2017-01-13T00:00:00"/>
        <d v="2017-09-17T00:00:00"/>
        <d v="2017-06-30T00:00:00"/>
        <d v="2013-12-11T00:00:00"/>
        <d v="2017-08-06T00:00:00"/>
        <d v="2012-04-05T00:00:00"/>
        <d v="2016-11-09T00:00:00"/>
        <d v="2015-11-14T00:00:00"/>
        <d v="2017-12-24T00:00:00"/>
        <d v="2016-10-28T00:00:00"/>
        <d v="2010-05-24T00:00:00"/>
        <d v="2013-03-13T00:00:00"/>
        <d v="2013-03-02T00:00:00"/>
        <d v="2012-08-11T00:00:00"/>
        <d v="2017-10-13T00:00:00"/>
        <d v="2015-01-31T00:00:00"/>
        <d v="2014-12-16T00:00:00"/>
        <d v="2012-01-24T00:00:00"/>
        <d v="2016-08-31T00:00:00"/>
        <d v="2010-05-14T00:00:00"/>
        <d v="2013-06-06T00:00:00"/>
        <d v="2017-05-27T00:00:00"/>
        <d v="2011-10-30T00:00:00"/>
        <d v="2015-05-01T00:00:00"/>
        <d v="2010-09-13T00:00:00"/>
        <d v="2016-01-03T00:00:00"/>
        <d v="2014-06-22T00:00:00"/>
        <d v="2015-03-09T00:00:00"/>
        <d v="2013-03-14T00:00:00"/>
        <d v="2014-01-09T00:00:00"/>
        <d v="2012-02-10T00:00:00"/>
        <d v="2017-08-17T00:00:00"/>
        <d v="2010-06-15T00:00:00"/>
        <d v="2015-12-21T00:00:00"/>
        <d v="2017-02-06T00:00:00"/>
        <d v="2017-12-05T00:00:00"/>
        <d v="2011-10-29T00:00:00"/>
        <d v="2011-11-13T00:00:00"/>
        <d v="2016-07-25T00:00:00"/>
        <d v="2010-12-31T00:00:00"/>
        <d v="2014-03-12T00:00:00"/>
        <d v="2012-11-28T00:00:00"/>
        <d v="2015-09-04T00:00:00"/>
        <d v="2014-02-02T00:00:00"/>
        <d v="2017-07-02T00:00:00"/>
        <d v="2013-12-31T00:00:00"/>
        <d v="2010-08-31T00:00:00"/>
        <d v="2010-01-04T00:00:00"/>
        <d v="2014-01-04T00:00:00"/>
        <d v="2011-12-25T00:00:00"/>
        <d v="2017-12-02T00:00:00"/>
        <d v="2015-08-23T00:00:00"/>
        <d v="2015-06-18T00:00:00"/>
        <d v="2010-08-24T00:00:00"/>
        <d v="2017-01-04T00:00:00"/>
        <d v="2017-10-16T00:00:00"/>
        <d v="2012-12-01T00:00:00"/>
        <d v="2011-07-29T00:00:00"/>
        <d v="2015-11-22T00:00:00"/>
        <d v="2014-01-11T00:00:00"/>
        <d v="2013-01-25T00:00:00"/>
        <d v="2011-06-01T00:00:00"/>
        <d v="2015-08-25T00:00:00"/>
        <d v="2012-03-04T00:00:00"/>
        <d v="2011-12-13T00:00:00"/>
        <d v="2014-06-28T00:00:00"/>
        <d v="2011-08-27T00:00:00"/>
        <d v="2013-12-01T00:00:00"/>
        <d v="2015-01-29T00:00:00"/>
        <d v="2016-06-18T00:00:00"/>
        <d v="2011-04-20T00:00:00"/>
        <d v="2015-06-14T00:00:00"/>
        <d v="2012-08-24T00:00:00"/>
        <d v="2014-11-28T00:00:00"/>
        <d v="2017-06-10T00:00:00"/>
        <d v="2017-03-22T00:00:00"/>
        <d v="2015-04-05T00:00:00"/>
        <d v="2015-11-05T00:00:00"/>
        <d v="2016-10-26T00:00:00"/>
        <d v="2013-07-11T00:00:00"/>
        <d v="2011-03-28T00:00:00"/>
        <d v="2010-11-26T00:00:00"/>
        <d v="2017-11-02T00:00:00"/>
        <d v="2011-01-31T00:00:00"/>
        <d v="2015-03-06T00:00:00"/>
        <d v="2017-01-17T00:00:00"/>
        <d v="2016-12-16T00:00:00"/>
        <d v="2015-12-16T00:00:00"/>
        <d v="2013-11-02T00:00:00"/>
        <d v="2011-09-02T00:00:00"/>
        <d v="2017-05-05T00:00:00"/>
        <d v="2010-04-08T00:00:00"/>
        <d v="2014-10-29T00:00:00"/>
        <d v="2017-07-23T00:00:00"/>
        <d v="2010-05-11T00:00:00"/>
        <d v="2017-06-01T00:00:00"/>
        <d v="2013-01-17T00:00:00"/>
      </sharedItems>
      <fieldGroup base="6">
        <rangePr groupBy="years" startDate="2010-01-04T00:00:00" endDate="2017-12-24T00:00:00" groupInterval="1"/>
        <groupItems count="10">
          <s v="&lt;1/4/2010"/>
          <s v="2010"/>
          <s v="2011"/>
          <s v="2012"/>
          <s v="2013"/>
          <s v="2014"/>
          <s v="2015"/>
          <s v="2016"/>
          <s v="2017"/>
          <s v="&gt;12/24/2017"/>
        </groupItems>
      </fieldGroup>
    </cacheField>
    <cacheField name="Order ID" numFmtId="0">
      <sharedItems containsSemiMixedTypes="0" containsString="0" containsNumber="1" containsInteger="1" minValue="110047595" maxValue="997600872" count="150">
        <n v="349467210"/>
        <n v="454088427"/>
        <n v="277077808"/>
        <n v="572190436"/>
        <n v="350814705"/>
        <n v="247697582"/>
        <n v="993102645"/>
        <n v="520477197"/>
        <n v="558502041"/>
        <n v="722261376"/>
        <n v="555094650"/>
        <n v="956634123"/>
        <n v="689324250"/>
        <n v="273660954"/>
        <n v="376406835"/>
        <n v="928299788"/>
        <n v="330519835"/>
        <n v="860672189"/>
        <n v="819024776"/>
        <n v="180705119"/>
        <n v="172073914"/>
        <n v="876124029"/>
        <n v="613911991"/>
        <n v="253651082"/>
        <n v="171244178"/>
        <n v="733816999"/>
        <n v="278017694"/>
        <n v="499873327"/>
        <n v="731833730"/>
        <n v="825799015"/>
        <n v="924183605"/>
        <n v="600229623"/>
        <n v="165293686"/>
        <n v="663236122"/>
        <n v="409255683"/>
        <n v="865872407"/>
        <n v="919956639"/>
        <n v="400910439"/>
        <n v="411603161"/>
        <n v="358185058"/>
        <n v="744090176"/>
        <n v="436210646"/>
        <n v="328773646"/>
        <n v="466564547"/>
        <n v="276383634"/>
        <n v="865854846"/>
        <n v="788042471"/>
        <n v="383627673"/>
        <n v="552949741"/>
        <n v="687037795"/>
        <n v="890118380"/>
        <n v="715418235"/>
        <n v="767225929"/>
        <n v="768823641"/>
        <n v="647488156"/>
        <n v="344103359"/>
        <n v="603011990"/>
        <n v="755209744"/>
        <n v="492073291"/>
        <n v="285588834"/>
        <n v="491727212"/>
        <n v="691434966"/>
        <n v="534318588"/>
        <n v="449390340"/>
        <n v="369722099"/>
        <n v="848277850"/>
        <n v="406974333"/>
        <n v="745202424"/>
        <n v="340539820"/>
        <n v="331302370"/>
        <n v="295190712"/>
        <n v="828769657"/>
        <n v="227833288"/>
        <n v="587114542"/>
        <n v="746035632"/>
        <n v="674890494"/>
        <n v="338077364"/>
        <n v="961330509"/>
        <n v="837448816"/>
        <n v="385124544"/>
        <n v="698552461"/>
        <n v="564233777"/>
        <n v="244538583"/>
        <n v="731675779"/>
        <n v="518387393"/>
        <n v="745535690"/>
        <n v="840108209"/>
        <n v="480974484"/>
        <n v="444024793"/>
        <n v="215438617"/>
        <n v="257553165"/>
        <n v="947879673"/>
        <n v="483129685"/>
        <n v="551419529"/>
        <n v="348001134"/>
        <n v="561946175"/>
        <n v="756524997"/>
        <n v="788899111"/>
        <n v="388072325"/>
        <n v="343794766"/>
        <n v="228161931"/>
        <n v="322580384"/>
        <n v="357158785"/>
        <n v="555704101"/>
        <n v="885713012"/>
        <n v="419859605"/>
        <n v="805516244"/>
        <n v="885901969"/>
        <n v="432800992"/>
        <n v="602073266"/>
        <n v="652457838"/>
        <n v="222715546"/>
        <n v="495488096"/>
        <n v="271200135"/>
        <n v="511011140"/>
        <n v="262906457"/>
        <n v="539000043"/>
        <n v="558337657"/>
        <n v="586353709"/>
        <n v="563402894"/>
        <n v="458626216"/>
        <n v="823507546"/>
        <n v="245509876"/>
        <n v="997600872"/>
        <n v="388091276"/>
        <n v="636767792"/>
        <n v="247986933"/>
        <n v="580115612"/>
        <n v="485640223"/>
        <n v="547142965"/>
        <n v="337575970"/>
        <n v="705941941"/>
        <n v="992864662"/>
        <n v="494352531"/>
        <n v="633215492"/>
        <n v="227812971"/>
        <n v="278817575"/>
        <n v="668122009"/>
        <n v="379406633"/>
        <n v="986572630"/>
        <n v="671651820"/>
        <n v="814181627"/>
        <n v="698270100"/>
        <n v="902427637"/>
        <n v="981483258"/>
        <n v="799192960"/>
        <n v="110047595"/>
        <n v="960012873"/>
        <n v="781969366"/>
        <n v="929681210"/>
      </sharedItems>
    </cacheField>
    <cacheField name="Ship Date" numFmtId="178">
      <sharedItems containsSemiMixedTypes="0" containsString="0" containsNonDate="0" containsDate="1" minDate="2010-01-23T00:00:00" maxDate="2018-01-27T00:00:00" count="147">
        <d v="2011-05-09T00:00:00"/>
        <d v="2012-03-08T00:00:00"/>
        <d v="2016-05-18T00:00:00"/>
        <d v="2017-07-04T00:00:00"/>
        <d v="2011-09-11T00:00:00"/>
        <d v="2017-01-12T00:00:00"/>
        <d v="2012-10-28T00:00:00"/>
        <d v="2015-07-15T00:00:00"/>
        <d v="2011-01-01T00:00:00"/>
        <d v="2017-02-09T00:00:00"/>
        <d v="2011-04-01T00:00:00"/>
        <d v="2010-08-01T00:00:00"/>
        <d v="2015-04-06T00:00:00"/>
        <d v="2011-06-05T00:00:00"/>
        <d v="2012-06-25T00:00:00"/>
        <d v="2011-08-04T00:00:00"/>
        <d v="2017-06-18T00:00:00"/>
        <d v="2013-12-10T00:00:00"/>
        <d v="2014-02-19T00:00:00"/>
        <d v="2015-07-28T00:00:00"/>
        <d v="2014-07-16T00:00:00"/>
        <d v="2016-09-21T00:00:00"/>
        <d v="2012-04-30T00:00:00"/>
        <d v="2010-08-12T00:00:00"/>
        <d v="2011-12-01T00:00:00"/>
        <d v="2015-02-24T00:00:00"/>
        <d v="2016-12-22T00:00:00"/>
        <d v="2012-10-19T00:00:00"/>
        <d v="2014-08-30T00:00:00"/>
        <d v="2014-01-25T00:00:00"/>
        <d v="2015-04-26T00:00:00"/>
        <d v="2012-04-19T00:00:00"/>
        <d v="2012-09-07T00:00:00"/>
        <d v="2016-11-02T00:00:00"/>
        <d v="2011-04-21T00:00:00"/>
        <d v="2014-12-15T00:00:00"/>
        <d v="2013-03-10T00:00:00"/>
        <d v="2011-07-31T00:00:00"/>
        <d v="2016-12-18T00:00:00"/>
        <d v="2014-10-02T00:00:00"/>
        <d v="2011-12-10T00:00:00"/>
        <d v="2012-05-19T00:00:00"/>
        <d v="2016-06-20T00:00:00"/>
        <d v="2010-02-17T00:00:00"/>
        <d v="2010-10-30T00:00:00"/>
        <d v="2013-02-22T00:00:00"/>
        <d v="2016-04-20T00:00:00"/>
        <d v="2012-11-08T00:00:00"/>
        <d v="2017-01-22T00:00:00"/>
        <d v="2017-09-26T00:00:00"/>
        <d v="2017-08-08T00:00:00"/>
        <d v="2014-01-24T00:00:00"/>
        <d v="2017-08-27T00:00:00"/>
        <d v="2012-04-20T00:00:00"/>
        <d v="2016-12-07T00:00:00"/>
        <d v="2015-12-12T00:00:00"/>
        <d v="2018-01-27T00:00:00"/>
        <d v="2016-11-20T00:00:00"/>
        <d v="2010-06-02T00:00:00"/>
        <d v="2013-04-25T00:00:00"/>
        <d v="2013-04-10T00:00:00"/>
        <d v="2012-09-01T00:00:00"/>
        <d v="2017-10-19T00:00:00"/>
        <d v="2015-02-26T00:00:00"/>
        <d v="2015-01-28T00:00:00"/>
        <d v="2012-02-25T00:00:00"/>
        <d v="2016-09-17T00:00:00"/>
        <d v="2010-06-19T00:00:00"/>
        <d v="2013-07-16T00:00:00"/>
        <d v="2017-06-23T00:00:00"/>
        <d v="2011-11-11T00:00:00"/>
        <d v="2015-05-22T00:00:00"/>
        <d v="2010-09-22T00:00:00"/>
        <d v="2016-02-08T00:00:00"/>
        <d v="2014-07-31T00:00:00"/>
        <d v="2015-03-16T00:00:00"/>
        <d v="2013-04-08T00:00:00"/>
        <d v="2014-01-14T00:00:00"/>
        <d v="2012-02-26T00:00:00"/>
        <d v="2013-07-01T00:00:00"/>
        <d v="2017-09-28T00:00:00"/>
        <d v="2010-07-22T00:00:00"/>
        <d v="2016-01-23T00:00:00"/>
        <d v="2017-02-16T00:00:00"/>
        <d v="2018-01-09T00:00:00"/>
        <d v="2011-12-09T00:00:00"/>
        <d v="2017-02-24T00:00:00"/>
        <d v="2016-08-15T00:00:00"/>
        <d v="2011-01-30T00:00:00"/>
        <d v="2014-04-03T00:00:00"/>
        <d v="2012-12-19T00:00:00"/>
        <d v="2015-09-12T00:00:00"/>
        <d v="2014-03-12T00:00:00"/>
        <d v="2017-08-01T00:00:00"/>
        <d v="2014-01-26T00:00:00"/>
        <d v="2010-10-05T00:00:00"/>
        <d v="2010-01-23T00:00:00"/>
        <d v="2014-01-10T00:00:00"/>
        <d v="2012-01-31T00:00:00"/>
        <d v="2017-12-09T00:00:00"/>
        <d v="2015-10-06T00:00:00"/>
        <d v="2015-07-07T00:00:00"/>
        <d v="2010-09-11T00:00:00"/>
        <d v="2017-02-17T00:00:00"/>
        <d v="2017-11-24T00:00:00"/>
        <d v="2012-12-30T00:00:00"/>
        <d v="2011-08-17T00:00:00"/>
        <d v="2016-01-04T00:00:00"/>
        <d v="2014-01-30T00:00:00"/>
        <d v="2013-03-07T00:00:00"/>
        <d v="2011-06-15T00:00:00"/>
        <d v="2015-09-27T00:00:00"/>
        <d v="2012-04-04T00:00:00"/>
        <d v="2012-01-09T00:00:00"/>
        <d v="2014-07-14T00:00:00"/>
        <d v="2011-10-01T00:00:00"/>
        <d v="2013-12-06T00:00:00"/>
        <d v="2015-03-14T00:00:00"/>
        <d v="2016-07-18T00:00:00"/>
        <d v="2011-05-28T00:00:00"/>
        <d v="2015-06-24T00:00:00"/>
        <d v="2012-09-14T00:00:00"/>
        <d v="2015-01-03T00:00:00"/>
        <d v="2017-07-13T00:00:00"/>
        <d v="2017-03-28T00:00:00"/>
        <d v="2015-04-17T00:00:00"/>
        <d v="2015-12-07T00:00:00"/>
        <d v="2016-11-07T00:00:00"/>
        <d v="2013-08-18T00:00:00"/>
        <d v="2011-05-08T00:00:00"/>
        <d v="2010-12-07T00:00:00"/>
        <d v="2017-11-11T00:00:00"/>
        <d v="2011-02-24T00:00:00"/>
        <d v="2015-04-01T00:00:00"/>
        <d v="2017-01-30T00:00:00"/>
        <d v="2016-12-24T00:00:00"/>
        <d v="2016-01-10T00:00:00"/>
        <d v="2013-11-18T00:00:00"/>
        <d v="2011-09-18T00:00:00"/>
        <d v="2017-05-11T00:00:00"/>
        <d v="2012-04-06T00:00:00"/>
        <d v="2010-05-06T00:00:00"/>
        <d v="2014-11-19T00:00:00"/>
        <d v="2017-09-05T00:00:00"/>
        <d v="2010-06-21T00:00:00"/>
        <d v="2017-06-22T00:00:00"/>
        <d v="2013-02-02T00:00:00"/>
      </sharedItems>
    </cacheField>
    <cacheField name="Units Sold" numFmtId="0">
      <sharedItems containsSemiMixedTypes="0" containsString="0" containsNumber="1" containsInteger="1" minValue="409" maxValue="9961" count="149">
        <n v="5978"/>
        <n v="7349"/>
        <n v="9066"/>
        <n v="4290"/>
        <n v="7913"/>
        <n v="8626"/>
        <n v="4243"/>
        <n v="8029"/>
        <n v="5259"/>
        <n v="2427"/>
        <n v="6292"/>
        <n v="3504"/>
        <n v="5456"/>
        <n v="4888"/>
        <n v="5516"/>
        <n v="3557"/>
        <n v="4027"/>
        <n v="7176"/>
        <n v="4813"/>
        <n v="1895"/>
        <n v="5137"/>
        <n v="5649"/>
        <n v="4618"/>
        <n v="6687"/>
        <n v="9961"/>
        <n v="6159"/>
        <n v="4461"/>
        <n v="4948"/>
        <n v="4899"/>
        <n v="8845"/>
        <n v="1356"/>
        <n v="6415"/>
        <n v="1445"/>
        <n v="625"/>
        <n v="5042"/>
        <n v="3820"/>
        <n v="6502"/>
        <n v="3133"/>
        <n v="1184"/>
        <n v="2241"/>
        <n v="7055"/>
        <n v="1253"/>
        <n v="2891"/>
        <n v="5269"/>
        <n v="5152"/>
        <n v="7960"/>
        <n v="7804"/>
        <n v="2079"/>
        <n v="7017"/>
        <n v="3249"/>
        <n v="5011"/>
        <n v="4400"/>
        <n v="1466"/>
        <n v="9367"/>
        <n v="7943"/>
        <n v="3186"/>
        <n v="7757"/>
        <n v="9187"/>
        <n v="4760"/>
        <n v="4891"/>
        <n v="8260"/>
        <n v="9324"/>
        <n v="1942"/>
        <n v="6572"/>
        <n v="9102"/>
        <n v="9305"/>
        <n v="9673"/>
        <n v="1614"/>
        <n v="2252"/>
        <n v="6590"/>
        <n v="7514"/>
        <n v="7219"/>
        <n v="6532"/>
        <n v="409"/>
        <n v="7849"/>
        <n v="784"/>
        <n v="7590"/>
        <n v="7000"/>
        <n v="3819"/>
        <n v="1477"/>
        <n v="5073"/>
        <n v="6641"/>
        <n v="9950"/>
        <n v="537"/>
        <n v="4700"/>
        <n v="6431"/>
        <n v="7177"/>
        <n v="7381"/>
        <n v="7640"/>
        <n v="1676"/>
        <n v="5526"/>
        <n v="8041"/>
        <n v="8658"/>
        <n v="8343"/>
        <n v="2161"/>
        <n v="2005"/>
        <n v="4724"/>
        <n v="517"/>
        <n v="6716"/>
        <n v="2448"/>
        <n v="9493"/>
        <n v="2019"/>
        <n v="3890"/>
        <n v="8967"/>
        <n v="6351"/>
        <n v="3298"/>
        <n v="9910"/>
        <n v="3112"/>
        <n v="8789"/>
        <n v="6188"/>
        <n v="1350"/>
        <n v="6428"/>
        <n v="2771"/>
        <n v="6179"/>
        <n v="8954"/>
        <n v="4851"/>
        <n v="6424"/>
        <n v="6132"/>
        <n v="3108"/>
        <n v="8370"/>
        <n v="4000"/>
        <n v="6375"/>
        <n v="1088"/>
        <n v="9581"/>
        <n v="4924"/>
        <n v="5483"/>
        <n v="8438"/>
        <n v="3862"/>
        <n v="3710"/>
        <n v="2543"/>
        <n v="7012"/>
        <n v="4642"/>
        <n v="3994"/>
        <n v="1204"/>
        <n v="3079"/>
        <n v="4433"/>
        <n v="9033"/>
        <n v="5875"/>
        <n v="8441"/>
        <n v="6536"/>
        <n v="6341"/>
        <n v="4250"/>
        <n v="6612"/>
        <n v="6522"/>
        <n v="1640"/>
        <n v="8763"/>
        <n v="4040"/>
        <n v="6004"/>
        <n v="4393"/>
      </sharedItems>
    </cacheField>
    <cacheField name="Unit Price" numFmtId="2">
      <sharedItems containsSemiMixedTypes="0" containsString="0" containsNumber="1" minValue="9.33" maxValue="668.27" count="10">
        <n v="668.27"/>
        <n v="437.2"/>
        <n v="47.45"/>
        <n v="651.21"/>
        <n v="205.7"/>
        <n v="154.06"/>
        <n v="255.28"/>
        <n v="9.33"/>
        <n v="152.58"/>
        <n v="109.28"/>
      </sharedItems>
    </cacheField>
    <cacheField name="Unit Cost" numFmtId="2">
      <sharedItems containsSemiMixedTypes="0" containsString="0" containsNumber="1" minValue="6.92" maxValue="524.96" count="10">
        <n v="502.54"/>
        <n v="263.33"/>
        <n v="31.79"/>
        <n v="524.96"/>
        <n v="117.11"/>
        <n v="90.93"/>
        <n v="159.42"/>
        <n v="6.92"/>
        <n v="97.44"/>
        <n v="35.84"/>
      </sharedItems>
    </cacheField>
    <cacheField name="Total Revenue" numFmtId="2">
      <sharedItems containsSemiMixedTypes="0" containsString="0" containsNumber="1" minValue="13677.78" maxValue="5856050.01" count="150">
        <n v="3994918.06"/>
        <n v="4911116.23"/>
        <n v="3963655.2"/>
        <n v="203560.5"/>
        <n v="5153024.73"/>
        <n v="1774368.2"/>
        <n v="872785.1"/>
        <n v="1236947.74"/>
        <n v="3514431.93"/>
        <n v="1580486.67"/>
        <n v="1606221.76"/>
        <n v="166264.8"/>
        <n v="3646081.12"/>
        <n v="1247808.64"/>
        <n v="261734.2"/>
        <n v="33186.81"/>
        <n v="191081.15"/>
        <n v="340501.2"/>
        <n v="3134273.73"/>
        <n v="483755.6"/>
        <n v="2245896.4"/>
        <n v="861924.42"/>
        <n v="219124.1"/>
        <n v="730755.36"/>
        <n v="1088538.08"/>
        <n v="1572269.52"/>
        <n v="2981152.47"/>
        <n v="754965.84"/>
        <n v="747489.42"/>
        <n v="3867034"/>
        <n v="883040.76"/>
        <n v="1319565.5"/>
        <n v="631754"/>
        <n v="68300"/>
        <n v="2204362.4"/>
        <n v="35640.6"/>
        <n v="60663.66"/>
        <n v="482669.98"/>
        <n v="129387.52"/>
        <n v="244896.48"/>
        <n v="334759.75"/>
        <n v="319865.84"/>
        <n v="137177.95"/>
        <n v="3521114.63"/>
        <n v="1315202.56"/>
        <n v="377702"/>
        <n v="3411908.8"/>
        <n v="317213.82"/>
        <n v="766817.76"/>
        <n v="1420462.8"/>
        <n v="237771.95"/>
        <n v="1923680"/>
        <n v="13677.78"/>
        <n v="1443080.02"/>
        <n v="376895.35"/>
        <n v="29725.38"/>
        <n v="1595614.9"/>
        <n v="4016556.4"/>
        <n v="1215132.8"/>
        <n v="1006078.7"/>
        <n v="77065.8"/>
        <n v="1422655.92"/>
        <n v="299184.52"/>
        <n v="4391870.44"/>
        <n v="2323558.56"/>
        <n v="1914038.5"/>
        <n v="1475906.34"/>
        <n v="1078587.78"/>
        <n v="1466524.92"/>
        <n v="720155.2"/>
        <n v="3285120.8"/>
        <n v="4824241.13"/>
        <n v="1006319.92"/>
        <n v="104409.52"/>
        <n v="73231.17"/>
        <n v="85675.52"/>
        <n v="3318348"/>
        <n v="65310"/>
        <n v="974914.32"/>
        <n v="70083.65"/>
        <n v="3303588.33"/>
        <n v="1013283.78"/>
        <n v="2540036"/>
        <n v="81935.46"/>
        <n v="2054840"/>
        <n v="1641705.68"/>
        <n v="4796173.79"/>
        <n v="68864.73"/>
        <n v="4975244.4"/>
        <n v="1091427.96"/>
        <n v="262208.7"/>
        <n v="1121310.42"/>
        <n v="5236379.61"/>
        <n v="5638176.18"/>
        <n v="1285322.58"/>
        <n v="102539.45"/>
        <n v="219106.4"/>
        <n v="3156907.48"/>
        <n v="79649.02"/>
        <n v="4488101.32"/>
        <n v="267517.44"/>
        <n v="1037395.04"/>
        <n v="18837.27"/>
        <n v="36293.7"/>
        <n v="3920372.4"/>
        <n v="978435.06"/>
        <n v="2147690.58"/>
        <n v="470229.5"/>
        <n v="794431.36"/>
        <n v="1341025.62"/>
        <n v="944165.04"/>
        <n v="205983"/>
        <n v="1322239.6"/>
        <n v="569994.7"/>
        <n v="951936.74"/>
        <n v="424867.3"/>
        <n v="3241777.77"/>
        <n v="4292966.48"/>
        <n v="4097831.64"/>
        <n v="639315.6"/>
        <n v="78092.1"/>
        <n v="189800"/>
        <n v="1627410"/>
        <n v="118896.64"/>
        <n v="1047011.68"/>
        <n v="3290561.48"/>
        <n v="3664124.41"/>
        <n v="922104.64"/>
        <n v="183251.9"/>
        <n v="2415989.1"/>
        <n v="649177.04"/>
        <n v="4685909.24"/>
        <n v="708276.36"/>
        <n v="821565.8"/>
        <n v="185488.24"/>
        <n v="2005075.59"/>
        <n v="676387.14"/>
        <n v="1378255.14"/>
        <n v="905102.5"/>
        <n v="1300420.46"/>
        <n v="4256308.56"/>
        <n v="2772285.2"/>
        <n v="1084940"/>
        <n v="1008858.96"/>
        <n v="1341575.4"/>
        <n v="77818"/>
        <n v="5856050.01"/>
        <n v="441491.2"/>
        <n v="4012293.08"/>
        <n v="480067.04"/>
      </sharedItems>
    </cacheField>
    <cacheField name="Total Cost" numFmtId="2">
      <sharedItems containsSemiMixedTypes="0" containsString="0" containsNumber="1" minValue="10144.72" maxValue="4545103.68" count="150">
        <n v="3004184.12"/>
        <n v="3693166.46"/>
        <n v="2387349.78"/>
        <n v="136379.1"/>
        <n v="4154008.48"/>
        <n v="1010190.86"/>
        <n v="496897.73"/>
        <n v="730076.97"/>
        <n v="2642857.86"/>
        <n v="1274077.92"/>
        <n v="1003070.64"/>
        <n v="111392.16"/>
        <n v="2741858.24"/>
        <n v="779244.96"/>
        <n v="175353.64"/>
        <n v="24614.44"/>
        <n v="128018.33"/>
        <n v="228125.04"/>
        <n v="2526632.48"/>
        <n v="302100.9"/>
        <n v="1352726.21"/>
        <n v="550438.56"/>
        <n v="146806.22"/>
        <n v="239662.08"/>
        <n v="357002.24"/>
        <n v="981867.78"/>
        <n v="2241830.94"/>
        <n v="482133.12"/>
        <n v="477358.56"/>
        <n v="2329153.85"/>
        <n v="711845.76"/>
        <n v="751260.65"/>
        <n v="380511.85"/>
        <n v="22400"/>
        <n v="1327709.86"/>
        <n v="26434.4"/>
        <n v="44993.84"/>
        <n v="284883.69"/>
        <n v="42434.56"/>
        <n v="80317.44"/>
        <n v="224278.45"/>
        <n v="199753.26"/>
        <n v="91904.89"/>
        <n v="2647883.26"/>
        <n v="821331.84"/>
        <n v="253048.4"/>
        <n v="2055027.32"/>
        <n v="202577.76"/>
        <n v="251489.28"/>
        <n v="855559.17"/>
        <n v="159299.69"/>
        <n v="1158652"/>
        <n v="10144.72"/>
        <n v="851741.31"/>
        <n v="252507.97"/>
        <n v="22047.12"/>
        <n v="908422.27"/>
        <n v="2419212.71"/>
        <n v="758839.2"/>
        <n v="572785.01"/>
        <n v="57159.2"/>
        <n v="908530.56"/>
        <n v="176586.06"/>
        <n v="3302692.88"/>
        <n v="1451040.84"/>
        <n v="1089708.55"/>
        <n v="942537.12"/>
        <n v="811099.56"/>
        <n v="1182209.92"/>
        <n v="236185.6"/>
        <n v="1978661.62"/>
        <n v="3627836.26"/>
        <n v="593954.76"/>
        <n v="65202.78"/>
        <n v="54315.08"/>
        <n v="28098.56"/>
        <n v="1998674.7"/>
        <n v="48440"/>
        <n v="608824.98"/>
        <n v="46953.83"/>
        <n v="2663122.08"/>
        <n v="647099.04"/>
        <n v="1586229"/>
        <n v="52325.28"/>
        <n v="1237651"/>
        <n v="1025230.02"/>
        <n v="3606729.58"/>
        <n v="51076.52"/>
        <n v="4010694.4"/>
        <n v="879832.96"/>
        <n v="175671.54"/>
        <n v="716086.56"/>
        <n v="4221203.36"/>
        <n v="4545103.68"/>
        <n v="758628.99"/>
        <n v="68698.19"/>
        <n v="71859.2"/>
        <n v="2373998.96"/>
        <n v="47010.81"/>
        <n v="3375058.64"/>
        <n v="87736.32"/>
        <n v="340229.12"/>
        <n v="13971.48"/>
        <n v="26918.8"/>
        <n v="2361280.11"/>
        <n v="577496.43"/>
        <n v="1731318.08"/>
        <n v="315038.9"/>
        <n v="496115.04"/>
        <n v="856400.16"/>
        <n v="602958.72"/>
        <n v="131544"/>
        <n v="752783.08"/>
        <n v="324511.81"/>
        <n v="561856.47"/>
        <n v="284647.66"/>
        <n v="2437821.54"/>
        <n v="3228316.96"/>
        <n v="3081575.28"/>
        <n v="363977.88"/>
        <n v="57920.4"/>
        <n v="127160"/>
        <n v="1016302.5"/>
        <n v="38993.92"/>
        <n v="343383.04"/>
        <n v="2474506.96"/>
        <n v="2755426.82"/>
        <n v="302417.92"/>
        <n v="122772.98"/>
        <n v="1947601.6"/>
        <n v="405405.06"/>
        <n v="3523810.48"/>
        <n v="452316.48"/>
        <n v="467737.34"/>
        <n v="109479.72"/>
        <n v="1616351.84"/>
        <n v="431951.52"/>
        <n v="880175.52"/>
        <n v="534213.75"/>
        <n v="767540.13"/>
        <n v="3431138.56"/>
        <n v="1669775.53"/>
        <n v="677535"/>
        <n v="644273.28"/>
        <n v="763791.42"/>
        <n v="52135.6"/>
        <n v="4403758.02"/>
        <n v="144793.6"/>
        <n v="3017250.16"/>
        <n v="157445.12"/>
      </sharedItems>
    </cacheField>
    <cacheField name="Total Profit" numFmtId="2">
      <sharedItems containsSemiMixedTypes="0" containsString="0" containsNumber="1" minValue="3533.06" maxValue="1597343.69" count="150">
        <n v="990733.94"/>
        <n v="1217949.77"/>
        <n v="1576305.42"/>
        <n v="67181.4"/>
        <n v="999016.25"/>
        <n v="764177.34"/>
        <n v="375887.37"/>
        <n v="506870.77"/>
        <n v="871574.069999999"/>
        <n v="306408.75"/>
        <n v="603151.12"/>
        <n v="54872.64"/>
        <n v="904222.88"/>
        <n v="468563.68"/>
        <n v="86380.56"/>
        <n v="8572.37"/>
        <n v="63062.82"/>
        <n v="112376.16"/>
        <n v="607641.25"/>
        <n v="181654.7"/>
        <n v="893170.19"/>
        <n v="311485.86"/>
        <n v="72317.88"/>
        <n v="491093.28"/>
        <n v="731535.84"/>
        <n v="590401.74"/>
        <n v="739321.53"/>
        <n v="272832.72"/>
        <n v="270130.86"/>
        <n v="1537880.15"/>
        <n v="171195"/>
        <n v="568304.85"/>
        <n v="251242.15"/>
        <n v="45900"/>
        <n v="876652.54"/>
        <n v="9206.2"/>
        <n v="15669.82"/>
        <n v="197786.29"/>
        <n v="86952.96"/>
        <n v="164579.04"/>
        <n v="110481.3"/>
        <n v="120112.58"/>
        <n v="45273.06"/>
        <n v="873231.37"/>
        <n v="493870.72"/>
        <n v="124653.6"/>
        <n v="1356881.48"/>
        <n v="114636.06"/>
        <n v="515328.48"/>
        <n v="564903.63"/>
        <n v="78472.26"/>
        <n v="765028"/>
        <n v="3533.06"/>
        <n v="591338.71"/>
        <n v="124387.38"/>
        <n v="7678.26"/>
        <n v="687192.63"/>
        <n v="1597343.69"/>
        <n v="456293.6"/>
        <n v="433293.69"/>
        <n v="19906.6"/>
        <n v="514125.36"/>
        <n v="122598.46"/>
        <n v="1089177.56"/>
        <n v="872517.72"/>
        <n v="824329.95"/>
        <n v="533369.22"/>
        <n v="267488.22"/>
        <n v="284315"/>
        <n v="483969.6"/>
        <n v="1306459.18"/>
        <n v="1196404.87"/>
        <n v="412365.16"/>
        <n v="39206.74"/>
        <n v="18916.09"/>
        <n v="57576.96"/>
        <n v="1319673.3"/>
        <n v="16870"/>
        <n v="366089.34"/>
        <n v="23129.82"/>
        <n v="640466.25"/>
        <n v="366184.74"/>
        <n v="953807"/>
        <n v="29610.18"/>
        <n v="817189"/>
        <n v="616475.66"/>
        <n v="1189444.21"/>
        <n v="17788.21"/>
        <n v="964550"/>
        <n v="211595"/>
        <n v="86537.16"/>
        <n v="405223.86"/>
        <n v="1015176.25"/>
        <n v="1093072.5"/>
        <n v="526693.59"/>
        <n v="33841.26"/>
        <n v="147247.2"/>
        <n v="782908.52"/>
        <n v="32638.21"/>
        <n v="1113042.68"/>
        <n v="179781.12"/>
        <n v="697165.92"/>
        <n v="4865.79"/>
        <n v="9374.9"/>
        <n v="1559092.29"/>
        <n v="400938.63"/>
        <n v="416372.5"/>
        <n v="155190.6"/>
        <n v="298316.32"/>
        <n v="484625.46"/>
        <n v="341206.32"/>
        <n v="74439"/>
        <n v="569456.52"/>
        <n v="245482.89"/>
        <n v="390080.27"/>
        <n v="140219.64"/>
        <n v="803956.23"/>
        <n v="1064649.52"/>
        <n v="1016256.36"/>
        <n v="275337.72"/>
        <n v="20171.7"/>
        <n v="62640"/>
        <n v="611107.5"/>
        <n v="79902.72"/>
        <n v="703628.64"/>
        <n v="816054.52"/>
        <n v="908697.589999999"/>
        <n v="619686.72"/>
        <n v="60478.92"/>
        <n v="468387.5"/>
        <n v="243771.98"/>
        <n v="1162098.76"/>
        <n v="255959.88"/>
        <n v="353828.46"/>
        <n v="76008.52"/>
        <n v="388723.75"/>
        <n v="244435.62"/>
        <n v="498079.62"/>
        <n v="370888.75"/>
        <n v="532880.33"/>
        <n v="825170.000000001"/>
        <n v="1102509.67"/>
        <n v="407405"/>
        <n v="364585.68"/>
        <n v="577783.98"/>
        <n v="25682.4"/>
        <n v="1452291.99"/>
        <n v="296697.6"/>
        <n v="995042.92"/>
        <n v="322621.92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invalid="1" refreshOnLoad="1" refreshedVersion="5" refreshedDate="46299.8155555556" refreshedBy="singh" recordCount="150">
  <cacheSource type="worksheet">
    <worksheetSource ref="A1:O151" sheet="Sales_Data"/>
  </cacheSource>
  <cacheFields count="15">
    <cacheField name="Region" numFmtId="0">
      <sharedItems count="7">
        <s v="Australia and Oceania"/>
        <s v="Europe"/>
        <s v="North America"/>
        <s v="Asia"/>
        <s v="Central America and the Caribbean"/>
        <s v="Sub-Saharan Africa"/>
        <s v="Middle East and North Africa"/>
      </sharedItems>
    </cacheField>
    <cacheField name="Country" numFmtId="0">
      <sharedItems count="25">
        <s v="Fiji"/>
        <s v="Estonia"/>
        <s v="Canada"/>
        <s v="India"/>
        <s v="Montenegro"/>
        <s v="Jamaica"/>
        <s v="Sudan"/>
        <s v="Australia"/>
        <s v="USA"/>
        <s v="Japan"/>
        <s v="Senegal"/>
        <s v="Eritrea"/>
        <s v="Cape Verde"/>
        <s v="Armenia"/>
        <s v="Libya"/>
        <s v="Saudi Arabia"/>
        <s v="Federated States of Micronesia"/>
        <s v="Greece"/>
        <s v="Panama"/>
        <s v="Maldives"/>
        <s v="UK"/>
        <s v="Egypt"/>
        <s v="Chad"/>
        <s v="Greenland"/>
        <s v="Bulgaria"/>
      </sharedItems>
    </cacheField>
    <cacheField name="Item Type" numFmtId="0">
      <sharedItems count="10">
        <s v="Household"/>
        <s v="Cosmetics"/>
        <s v="Beverages"/>
        <s v="Office Supplies"/>
        <s v="Cereal"/>
        <s v="Vegetables"/>
        <s v="Baby Food"/>
        <s v="Fruits"/>
        <s v="Snacks"/>
        <s v="Clothes"/>
      </sharedItems>
    </cacheField>
    <cacheField name="Rep Name" numFmtId="0">
      <sharedItems count="22">
        <s v="Gavin Gill"/>
        <s v="Sean Glover"/>
        <s v="Karen Clark"/>
        <s v="Robert Davies"/>
        <s v="Diana Black"/>
        <s v="Katherine Scott"/>
        <s v="Victor Reid"/>
        <s v="Nicholas McLean"/>
        <s v="Justin Scott"/>
        <s v="Jack MacLeod"/>
        <s v="Lauren Marshall"/>
        <s v="Trevor Hemmings"/>
        <s v="Molly Jackson"/>
        <s v="Jan Johnston"/>
        <s v="Piers MacLeod"/>
        <s v="Evan Vaughan"/>
        <s v="Rose Paige"/>
        <s v="Liam Wilkins"/>
        <s v="Irene Hill"/>
        <s v="Jan Dyer"/>
        <s v="Amy Hemmings"/>
        <s v="Sam King"/>
      </sharedItems>
    </cacheField>
    <cacheField name="Sales Channel" numFmtId="0">
      <sharedItems count="2">
        <s v="Offline"/>
        <s v="Online"/>
      </sharedItems>
    </cacheField>
    <cacheField name="Order Priority" numFmtId="0">
      <sharedItems count="4">
        <s v="C"/>
        <s v="M"/>
        <s v="L"/>
        <s v="H"/>
      </sharedItems>
    </cacheField>
    <cacheField name="Order Date" numFmtId="0">
      <sharedItems containsSemiMixedTypes="0" containsString="0" containsNonDate="0" containsDate="1" minDate="2010-01-04T00:00:00" maxDate="2017-12-24T00:00:00" count="146">
        <d v="2011-04-12T00:00:00"/>
        <d v="2012-02-09T00:00:00"/>
        <d v="2016-04-19T00:00:00"/>
        <d v="2017-06-27T00:00:00"/>
        <d v="2011-08-24T00:00:00"/>
        <d v="2016-12-31T00:00:00"/>
        <d v="2012-10-18T00:00:00"/>
        <d v="2015-06-05T00:00:00"/>
        <d v="2010-12-04T00:00:00"/>
        <d v="2017-01-12T00:00:00"/>
        <d v="2011-02-23T00:00:00"/>
        <d v="2010-07-20T00:00:00"/>
        <d v="2015-03-11T00:00:00"/>
        <d v="2011-05-18T00:00:00"/>
        <d v="2012-05-13T00:00:00"/>
        <d v="2011-06-25T00:00:00"/>
        <d v="2017-05-17T00:00:00"/>
        <d v="2013-11-09T00:00:00"/>
        <d v="2014-01-19T00:00:00"/>
        <d v="2015-06-22T00:00:00"/>
        <d v="2014-06-25T00:00:00"/>
        <d v="2016-08-29T00:00:00"/>
        <d v="2012-04-15T00:00:00"/>
        <d v="2010-07-17T00:00:00"/>
        <d v="2011-10-22T00:00:00"/>
        <d v="2015-01-18T00:00:00"/>
        <d v="2016-11-25T00:00:00"/>
        <d v="2012-10-13T00:00:00"/>
        <d v="2014-08-10T00:00:00"/>
        <d v="2013-12-14T00:00:00"/>
        <d v="2015-04-04T00:00:00"/>
        <d v="2012-03-26T00:00:00"/>
        <d v="2012-08-12T00:00:00"/>
        <d v="2016-10-21T00:00:00"/>
        <d v="2011-03-29T00:00:00"/>
        <d v="2014-11-04T00:00:00"/>
        <d v="2013-02-13T00:00:00"/>
        <d v="2011-07-24T00:00:00"/>
        <d v="2016-12-12T00:00:00"/>
        <d v="2014-09-02T00:00:00"/>
        <d v="2011-11-16T00:00:00"/>
        <d v="2012-04-13T00:00:00"/>
        <d v="2016-06-10T00:00:00"/>
        <d v="2010-01-05T00:00:00"/>
        <d v="2010-09-26T00:00:00"/>
        <d v="2015-01-28T00:00:00"/>
        <d v="2013-01-24T00:00:00"/>
        <d v="2016-04-13T00:00:00"/>
        <d v="2012-10-05T00:00:00"/>
        <d v="2017-01-13T00:00:00"/>
        <d v="2017-09-17T00:00:00"/>
        <d v="2017-06-30T00:00:00"/>
        <d v="2013-12-11T00:00:00"/>
        <d v="2017-08-06T00:00:00"/>
        <d v="2012-04-05T00:00:00"/>
        <d v="2016-11-09T00:00:00"/>
        <d v="2015-11-14T00:00:00"/>
        <d v="2017-12-24T00:00:00"/>
        <d v="2016-10-28T00:00:00"/>
        <d v="2010-05-24T00:00:00"/>
        <d v="2013-03-13T00:00:00"/>
        <d v="2013-03-02T00:00:00"/>
        <d v="2012-08-11T00:00:00"/>
        <d v="2017-10-13T00:00:00"/>
        <d v="2015-01-31T00:00:00"/>
        <d v="2014-12-16T00:00:00"/>
        <d v="2012-01-24T00:00:00"/>
        <d v="2016-08-31T00:00:00"/>
        <d v="2010-05-14T00:00:00"/>
        <d v="2013-06-06T00:00:00"/>
        <d v="2017-05-27T00:00:00"/>
        <d v="2011-10-30T00:00:00"/>
        <d v="2015-05-01T00:00:00"/>
        <d v="2010-09-13T00:00:00"/>
        <d v="2016-01-03T00:00:00"/>
        <d v="2014-06-22T00:00:00"/>
        <d v="2015-03-09T00:00:00"/>
        <d v="2013-03-14T00:00:00"/>
        <d v="2014-01-09T00:00:00"/>
        <d v="2012-02-10T00:00:00"/>
        <d v="2017-08-17T00:00:00"/>
        <d v="2010-06-15T00:00:00"/>
        <d v="2015-12-21T00:00:00"/>
        <d v="2017-02-06T00:00:00"/>
        <d v="2017-12-05T00:00:00"/>
        <d v="2011-10-29T00:00:00"/>
        <d v="2011-11-13T00:00:00"/>
        <d v="2016-07-25T00:00:00"/>
        <d v="2010-12-31T00:00:00"/>
        <d v="2014-03-12T00:00:00"/>
        <d v="2012-11-28T00:00:00"/>
        <d v="2015-09-04T00:00:00"/>
        <d v="2014-02-02T00:00:00"/>
        <d v="2017-07-02T00:00:00"/>
        <d v="2013-12-31T00:00:00"/>
        <d v="2010-08-31T00:00:00"/>
        <d v="2010-01-04T00:00:00"/>
        <d v="2014-01-04T00:00:00"/>
        <d v="2011-12-25T00:00:00"/>
        <d v="2017-12-02T00:00:00"/>
        <d v="2015-08-23T00:00:00"/>
        <d v="2015-06-18T00:00:00"/>
        <d v="2010-08-24T00:00:00"/>
        <d v="2017-01-04T00:00:00"/>
        <d v="2017-10-16T00:00:00"/>
        <d v="2012-12-01T00:00:00"/>
        <d v="2011-07-29T00:00:00"/>
        <d v="2015-11-22T00:00:00"/>
        <d v="2014-01-11T00:00:00"/>
        <d v="2013-01-25T00:00:00"/>
        <d v="2011-06-01T00:00:00"/>
        <d v="2015-08-25T00:00:00"/>
        <d v="2012-03-04T00:00:00"/>
        <d v="2011-12-13T00:00:00"/>
        <d v="2014-06-28T00:00:00"/>
        <d v="2011-08-27T00:00:00"/>
        <d v="2013-12-01T00:00:00"/>
        <d v="2015-01-29T00:00:00"/>
        <d v="2016-06-18T00:00:00"/>
        <d v="2011-04-20T00:00:00"/>
        <d v="2015-06-14T00:00:00"/>
        <d v="2012-08-24T00:00:00"/>
        <d v="2014-11-28T00:00:00"/>
        <d v="2017-06-10T00:00:00"/>
        <d v="2017-03-22T00:00:00"/>
        <d v="2015-04-05T00:00:00"/>
        <d v="2015-11-05T00:00:00"/>
        <d v="2016-10-26T00:00:00"/>
        <d v="2013-07-11T00:00:00"/>
        <d v="2011-03-28T00:00:00"/>
        <d v="2010-11-26T00:00:00"/>
        <d v="2017-11-02T00:00:00"/>
        <d v="2011-01-31T00:00:00"/>
        <d v="2015-03-06T00:00:00"/>
        <d v="2017-01-17T00:00:00"/>
        <d v="2016-12-16T00:00:00"/>
        <d v="2015-12-16T00:00:00"/>
        <d v="2013-11-02T00:00:00"/>
        <d v="2011-09-02T00:00:00"/>
        <d v="2017-05-05T00:00:00"/>
        <d v="2010-04-08T00:00:00"/>
        <d v="2014-10-29T00:00:00"/>
        <d v="2017-07-23T00:00:00"/>
        <d v="2010-05-11T00:00:00"/>
        <d v="2017-06-01T00:00:00"/>
        <d v="2013-01-17T00:00:00"/>
      </sharedItems>
      <fieldGroup base="6">
        <rangePr groupBy="years" startDate="2010-01-04T00:00:00" endDate="2017-12-24T00:00:00" groupInterval="1"/>
        <groupItems count="10">
          <s v="&lt;1/4/2010"/>
          <s v="2010"/>
          <s v="2011"/>
          <s v="2012"/>
          <s v="2013"/>
          <s v="2014"/>
          <s v="2015"/>
          <s v="2016"/>
          <s v="2017"/>
          <s v="&gt;12/24/2017"/>
        </groupItems>
      </fieldGroup>
    </cacheField>
    <cacheField name="Order ID" numFmtId="0">
      <sharedItems containsSemiMixedTypes="0" containsString="0" containsNumber="1" containsInteger="1" minValue="110047595" maxValue="997600872" count="150">
        <n v="349467210"/>
        <n v="454088427"/>
        <n v="277077808"/>
        <n v="572190436"/>
        <n v="350814705"/>
        <n v="247697582"/>
        <n v="993102645"/>
        <n v="520477197"/>
        <n v="558502041"/>
        <n v="722261376"/>
        <n v="555094650"/>
        <n v="956634123"/>
        <n v="689324250"/>
        <n v="273660954"/>
        <n v="376406835"/>
        <n v="928299788"/>
        <n v="330519835"/>
        <n v="860672189"/>
        <n v="819024776"/>
        <n v="180705119"/>
        <n v="172073914"/>
        <n v="876124029"/>
        <n v="613911991"/>
        <n v="253651082"/>
        <n v="171244178"/>
        <n v="733816999"/>
        <n v="278017694"/>
        <n v="499873327"/>
        <n v="731833730"/>
        <n v="825799015"/>
        <n v="924183605"/>
        <n v="600229623"/>
        <n v="165293686"/>
        <n v="663236122"/>
        <n v="409255683"/>
        <n v="865872407"/>
        <n v="919956639"/>
        <n v="400910439"/>
        <n v="411603161"/>
        <n v="358185058"/>
        <n v="744090176"/>
        <n v="436210646"/>
        <n v="328773646"/>
        <n v="466564547"/>
        <n v="276383634"/>
        <n v="865854846"/>
        <n v="788042471"/>
        <n v="383627673"/>
        <n v="552949741"/>
        <n v="687037795"/>
        <n v="890118380"/>
        <n v="715418235"/>
        <n v="767225929"/>
        <n v="768823641"/>
        <n v="647488156"/>
        <n v="344103359"/>
        <n v="603011990"/>
        <n v="755209744"/>
        <n v="492073291"/>
        <n v="285588834"/>
        <n v="491727212"/>
        <n v="691434966"/>
        <n v="534318588"/>
        <n v="449390340"/>
        <n v="369722099"/>
        <n v="848277850"/>
        <n v="406974333"/>
        <n v="745202424"/>
        <n v="340539820"/>
        <n v="331302370"/>
        <n v="295190712"/>
        <n v="828769657"/>
        <n v="227833288"/>
        <n v="587114542"/>
        <n v="746035632"/>
        <n v="674890494"/>
        <n v="338077364"/>
        <n v="961330509"/>
        <n v="837448816"/>
        <n v="385124544"/>
        <n v="698552461"/>
        <n v="564233777"/>
        <n v="244538583"/>
        <n v="731675779"/>
        <n v="518387393"/>
        <n v="745535690"/>
        <n v="840108209"/>
        <n v="480974484"/>
        <n v="444024793"/>
        <n v="215438617"/>
        <n v="257553165"/>
        <n v="947879673"/>
        <n v="483129685"/>
        <n v="551419529"/>
        <n v="348001134"/>
        <n v="561946175"/>
        <n v="756524997"/>
        <n v="788899111"/>
        <n v="388072325"/>
        <n v="343794766"/>
        <n v="228161931"/>
        <n v="322580384"/>
        <n v="357158785"/>
        <n v="555704101"/>
        <n v="885713012"/>
        <n v="419859605"/>
        <n v="805516244"/>
        <n v="885901969"/>
        <n v="432800992"/>
        <n v="602073266"/>
        <n v="652457838"/>
        <n v="222715546"/>
        <n v="495488096"/>
        <n v="271200135"/>
        <n v="511011140"/>
        <n v="262906457"/>
        <n v="539000043"/>
        <n v="558337657"/>
        <n v="586353709"/>
        <n v="563402894"/>
        <n v="458626216"/>
        <n v="823507546"/>
        <n v="245509876"/>
        <n v="997600872"/>
        <n v="388091276"/>
        <n v="636767792"/>
        <n v="247986933"/>
        <n v="580115612"/>
        <n v="485640223"/>
        <n v="547142965"/>
        <n v="337575970"/>
        <n v="705941941"/>
        <n v="992864662"/>
        <n v="494352531"/>
        <n v="633215492"/>
        <n v="227812971"/>
        <n v="278817575"/>
        <n v="668122009"/>
        <n v="379406633"/>
        <n v="986572630"/>
        <n v="671651820"/>
        <n v="814181627"/>
        <n v="698270100"/>
        <n v="902427637"/>
        <n v="981483258"/>
        <n v="799192960"/>
        <n v="110047595"/>
        <n v="960012873"/>
        <n v="781969366"/>
        <n v="929681210"/>
      </sharedItems>
    </cacheField>
    <cacheField name="Ship Date" numFmtId="178">
      <sharedItems containsSemiMixedTypes="0" containsString="0" containsNonDate="0" containsDate="1" minDate="2010-01-23T00:00:00" maxDate="2018-01-27T00:00:00" count="147">
        <d v="2011-05-09T00:00:00"/>
        <d v="2012-03-08T00:00:00"/>
        <d v="2016-05-18T00:00:00"/>
        <d v="2017-07-04T00:00:00"/>
        <d v="2011-09-11T00:00:00"/>
        <d v="2017-01-12T00:00:00"/>
        <d v="2012-10-28T00:00:00"/>
        <d v="2015-07-15T00:00:00"/>
        <d v="2011-01-01T00:00:00"/>
        <d v="2017-02-09T00:00:00"/>
        <d v="2011-04-01T00:00:00"/>
        <d v="2010-08-01T00:00:00"/>
        <d v="2015-04-06T00:00:00"/>
        <d v="2011-06-05T00:00:00"/>
        <d v="2012-06-25T00:00:00"/>
        <d v="2011-08-04T00:00:00"/>
        <d v="2017-06-18T00:00:00"/>
        <d v="2013-12-10T00:00:00"/>
        <d v="2014-02-19T00:00:00"/>
        <d v="2015-07-28T00:00:00"/>
        <d v="2014-07-16T00:00:00"/>
        <d v="2016-09-21T00:00:00"/>
        <d v="2012-04-30T00:00:00"/>
        <d v="2010-08-12T00:00:00"/>
        <d v="2011-12-01T00:00:00"/>
        <d v="2015-02-24T00:00:00"/>
        <d v="2016-12-22T00:00:00"/>
        <d v="2012-10-19T00:00:00"/>
        <d v="2014-08-30T00:00:00"/>
        <d v="2014-01-25T00:00:00"/>
        <d v="2015-04-26T00:00:00"/>
        <d v="2012-04-19T00:00:00"/>
        <d v="2012-09-07T00:00:00"/>
        <d v="2016-11-02T00:00:00"/>
        <d v="2011-04-21T00:00:00"/>
        <d v="2014-12-15T00:00:00"/>
        <d v="2013-03-10T00:00:00"/>
        <d v="2011-07-31T00:00:00"/>
        <d v="2016-12-18T00:00:00"/>
        <d v="2014-10-02T00:00:00"/>
        <d v="2011-12-10T00:00:00"/>
        <d v="2012-05-19T00:00:00"/>
        <d v="2016-06-20T00:00:00"/>
        <d v="2010-02-17T00:00:00"/>
        <d v="2010-10-30T00:00:00"/>
        <d v="2013-02-22T00:00:00"/>
        <d v="2016-04-20T00:00:00"/>
        <d v="2012-11-08T00:00:00"/>
        <d v="2017-01-22T00:00:00"/>
        <d v="2017-09-26T00:00:00"/>
        <d v="2017-08-08T00:00:00"/>
        <d v="2014-01-24T00:00:00"/>
        <d v="2017-08-27T00:00:00"/>
        <d v="2012-04-20T00:00:00"/>
        <d v="2016-12-07T00:00:00"/>
        <d v="2015-12-12T00:00:00"/>
        <d v="2018-01-27T00:00:00"/>
        <d v="2016-11-20T00:00:00"/>
        <d v="2010-06-02T00:00:00"/>
        <d v="2013-04-25T00:00:00"/>
        <d v="2013-04-10T00:00:00"/>
        <d v="2012-09-01T00:00:00"/>
        <d v="2017-10-19T00:00:00"/>
        <d v="2015-02-26T00:00:00"/>
        <d v="2015-01-28T00:00:00"/>
        <d v="2012-02-25T00:00:00"/>
        <d v="2016-09-17T00:00:00"/>
        <d v="2010-06-19T00:00:00"/>
        <d v="2013-07-16T00:00:00"/>
        <d v="2017-06-23T00:00:00"/>
        <d v="2011-11-11T00:00:00"/>
        <d v="2015-05-22T00:00:00"/>
        <d v="2010-09-22T00:00:00"/>
        <d v="2016-02-08T00:00:00"/>
        <d v="2014-07-31T00:00:00"/>
        <d v="2015-03-16T00:00:00"/>
        <d v="2013-04-08T00:00:00"/>
        <d v="2014-01-14T00:00:00"/>
        <d v="2012-02-26T00:00:00"/>
        <d v="2013-07-01T00:00:00"/>
        <d v="2017-09-28T00:00:00"/>
        <d v="2010-07-22T00:00:00"/>
        <d v="2016-01-23T00:00:00"/>
        <d v="2017-02-16T00:00:00"/>
        <d v="2018-01-09T00:00:00"/>
        <d v="2011-12-09T00:00:00"/>
        <d v="2017-02-24T00:00:00"/>
        <d v="2016-08-15T00:00:00"/>
        <d v="2011-01-30T00:00:00"/>
        <d v="2014-04-03T00:00:00"/>
        <d v="2012-12-19T00:00:00"/>
        <d v="2015-09-12T00:00:00"/>
        <d v="2014-03-12T00:00:00"/>
        <d v="2017-08-01T00:00:00"/>
        <d v="2014-01-26T00:00:00"/>
        <d v="2010-10-05T00:00:00"/>
        <d v="2010-01-23T00:00:00"/>
        <d v="2014-01-10T00:00:00"/>
        <d v="2012-01-31T00:00:00"/>
        <d v="2017-12-09T00:00:00"/>
        <d v="2015-10-06T00:00:00"/>
        <d v="2015-07-07T00:00:00"/>
        <d v="2010-09-11T00:00:00"/>
        <d v="2017-02-17T00:00:00"/>
        <d v="2017-11-24T00:00:00"/>
        <d v="2012-12-30T00:00:00"/>
        <d v="2011-08-17T00:00:00"/>
        <d v="2016-01-04T00:00:00"/>
        <d v="2014-01-30T00:00:00"/>
        <d v="2013-03-07T00:00:00"/>
        <d v="2011-06-15T00:00:00"/>
        <d v="2015-09-27T00:00:00"/>
        <d v="2012-04-04T00:00:00"/>
        <d v="2012-01-09T00:00:00"/>
        <d v="2014-07-14T00:00:00"/>
        <d v="2011-10-01T00:00:00"/>
        <d v="2013-12-06T00:00:00"/>
        <d v="2015-03-14T00:00:00"/>
        <d v="2016-07-18T00:00:00"/>
        <d v="2011-05-28T00:00:00"/>
        <d v="2015-06-24T00:00:00"/>
        <d v="2012-09-14T00:00:00"/>
        <d v="2015-01-03T00:00:00"/>
        <d v="2017-07-13T00:00:00"/>
        <d v="2017-03-28T00:00:00"/>
        <d v="2015-04-17T00:00:00"/>
        <d v="2015-12-07T00:00:00"/>
        <d v="2016-11-07T00:00:00"/>
        <d v="2013-08-18T00:00:00"/>
        <d v="2011-05-08T00:00:00"/>
        <d v="2010-12-07T00:00:00"/>
        <d v="2017-11-11T00:00:00"/>
        <d v="2011-02-24T00:00:00"/>
        <d v="2015-04-01T00:00:00"/>
        <d v="2017-01-30T00:00:00"/>
        <d v="2016-12-24T00:00:00"/>
        <d v="2016-01-10T00:00:00"/>
        <d v="2013-11-18T00:00:00"/>
        <d v="2011-09-18T00:00:00"/>
        <d v="2017-05-11T00:00:00"/>
        <d v="2012-04-06T00:00:00"/>
        <d v="2010-05-06T00:00:00"/>
        <d v="2014-11-19T00:00:00"/>
        <d v="2017-09-05T00:00:00"/>
        <d v="2010-06-21T00:00:00"/>
        <d v="2017-06-22T00:00:00"/>
        <d v="2013-02-02T00:00:00"/>
      </sharedItems>
    </cacheField>
    <cacheField name="Units Sold" numFmtId="0">
      <sharedItems containsSemiMixedTypes="0" containsString="0" containsNumber="1" containsInteger="1" minValue="409" maxValue="9961" count="149">
        <n v="5978"/>
        <n v="7349"/>
        <n v="9066"/>
        <n v="4290"/>
        <n v="7913"/>
        <n v="8626"/>
        <n v="4243"/>
        <n v="8029"/>
        <n v="5259"/>
        <n v="2427"/>
        <n v="6292"/>
        <n v="3504"/>
        <n v="5456"/>
        <n v="4888"/>
        <n v="5516"/>
        <n v="3557"/>
        <n v="4027"/>
        <n v="7176"/>
        <n v="4813"/>
        <n v="1895"/>
        <n v="5137"/>
        <n v="5649"/>
        <n v="4618"/>
        <n v="6687"/>
        <n v="9961"/>
        <n v="6159"/>
        <n v="4461"/>
        <n v="4948"/>
        <n v="4899"/>
        <n v="8845"/>
        <n v="1356"/>
        <n v="6415"/>
        <n v="1445"/>
        <n v="625"/>
        <n v="5042"/>
        <n v="3820"/>
        <n v="6502"/>
        <n v="3133"/>
        <n v="1184"/>
        <n v="2241"/>
        <n v="7055"/>
        <n v="1253"/>
        <n v="2891"/>
        <n v="5269"/>
        <n v="5152"/>
        <n v="7960"/>
        <n v="7804"/>
        <n v="2079"/>
        <n v="7017"/>
        <n v="3249"/>
        <n v="5011"/>
        <n v="4400"/>
        <n v="1466"/>
        <n v="9367"/>
        <n v="7943"/>
        <n v="3186"/>
        <n v="7757"/>
        <n v="9187"/>
        <n v="4760"/>
        <n v="4891"/>
        <n v="8260"/>
        <n v="9324"/>
        <n v="1942"/>
        <n v="6572"/>
        <n v="9102"/>
        <n v="9305"/>
        <n v="9673"/>
        <n v="1614"/>
        <n v="2252"/>
        <n v="6590"/>
        <n v="7514"/>
        <n v="7219"/>
        <n v="6532"/>
        <n v="409"/>
        <n v="7849"/>
        <n v="784"/>
        <n v="7590"/>
        <n v="7000"/>
        <n v="3819"/>
        <n v="1477"/>
        <n v="5073"/>
        <n v="6641"/>
        <n v="9950"/>
        <n v="537"/>
        <n v="4700"/>
        <n v="6431"/>
        <n v="7177"/>
        <n v="7381"/>
        <n v="7640"/>
        <n v="1676"/>
        <n v="5526"/>
        <n v="8041"/>
        <n v="8658"/>
        <n v="8343"/>
        <n v="2161"/>
        <n v="2005"/>
        <n v="4724"/>
        <n v="517"/>
        <n v="6716"/>
        <n v="2448"/>
        <n v="9493"/>
        <n v="2019"/>
        <n v="3890"/>
        <n v="8967"/>
        <n v="6351"/>
        <n v="3298"/>
        <n v="9910"/>
        <n v="3112"/>
        <n v="8789"/>
        <n v="6188"/>
        <n v="1350"/>
        <n v="6428"/>
        <n v="2771"/>
        <n v="6179"/>
        <n v="8954"/>
        <n v="4851"/>
        <n v="6424"/>
        <n v="6132"/>
        <n v="3108"/>
        <n v="8370"/>
        <n v="4000"/>
        <n v="6375"/>
        <n v="1088"/>
        <n v="9581"/>
        <n v="4924"/>
        <n v="5483"/>
        <n v="8438"/>
        <n v="3862"/>
        <n v="3710"/>
        <n v="2543"/>
        <n v="7012"/>
        <n v="4642"/>
        <n v="3994"/>
        <n v="1204"/>
        <n v="3079"/>
        <n v="4433"/>
        <n v="9033"/>
        <n v="5875"/>
        <n v="8441"/>
        <n v="6536"/>
        <n v="6341"/>
        <n v="4250"/>
        <n v="6612"/>
        <n v="6522"/>
        <n v="1640"/>
        <n v="8763"/>
        <n v="4040"/>
        <n v="6004"/>
        <n v="4393"/>
      </sharedItems>
    </cacheField>
    <cacheField name="Unit Price" numFmtId="2">
      <sharedItems containsSemiMixedTypes="0" containsString="0" containsNumber="1" minValue="9.33" maxValue="668.27" count="10">
        <n v="668.27"/>
        <n v="437.2"/>
        <n v="47.45"/>
        <n v="651.21"/>
        <n v="205.7"/>
        <n v="154.06"/>
        <n v="255.28"/>
        <n v="9.33"/>
        <n v="152.58"/>
        <n v="109.28"/>
      </sharedItems>
    </cacheField>
    <cacheField name="Unit Cost" numFmtId="2">
      <sharedItems containsSemiMixedTypes="0" containsString="0" containsNumber="1" minValue="6.92" maxValue="524.96" count="10">
        <n v="502.54"/>
        <n v="263.33"/>
        <n v="31.79"/>
        <n v="524.96"/>
        <n v="117.11"/>
        <n v="90.93"/>
        <n v="159.42"/>
        <n v="6.92"/>
        <n v="97.44"/>
        <n v="35.84"/>
      </sharedItems>
    </cacheField>
    <cacheField name="Total Revenue" numFmtId="2">
      <sharedItems containsSemiMixedTypes="0" containsString="0" containsNumber="1" minValue="13677.78" maxValue="5856050.01" count="150">
        <n v="3994918.06"/>
        <n v="4911116.23"/>
        <n v="3963655.2"/>
        <n v="203560.5"/>
        <n v="5153024.73"/>
        <n v="1774368.2"/>
        <n v="872785.1"/>
        <n v="1236947.74"/>
        <n v="3514431.93"/>
        <n v="1580486.67"/>
        <n v="1606221.76"/>
        <n v="166264.8"/>
        <n v="3646081.12"/>
        <n v="1247808.64"/>
        <n v="261734.2"/>
        <n v="33186.81"/>
        <n v="191081.15"/>
        <n v="340501.2"/>
        <n v="3134273.73"/>
        <n v="483755.6"/>
        <n v="2245896.4"/>
        <n v="861924.42"/>
        <n v="219124.1"/>
        <n v="730755.36"/>
        <n v="1088538.08"/>
        <n v="1572269.52"/>
        <n v="2981152.47"/>
        <n v="754965.84"/>
        <n v="747489.42"/>
        <n v="3867034"/>
        <n v="883040.76"/>
        <n v="1319565.5"/>
        <n v="631754"/>
        <n v="68300"/>
        <n v="2204362.4"/>
        <n v="35640.6"/>
        <n v="60663.66"/>
        <n v="482669.98"/>
        <n v="129387.52"/>
        <n v="244896.48"/>
        <n v="334759.75"/>
        <n v="319865.84"/>
        <n v="137177.95"/>
        <n v="3521114.63"/>
        <n v="1315202.56"/>
        <n v="377702"/>
        <n v="3411908.8"/>
        <n v="317213.82"/>
        <n v="766817.76"/>
        <n v="1420462.8"/>
        <n v="237771.95"/>
        <n v="1923680"/>
        <n v="13677.78"/>
        <n v="1443080.02"/>
        <n v="376895.35"/>
        <n v="29725.38"/>
        <n v="1595614.9"/>
        <n v="4016556.4"/>
        <n v="1215132.8"/>
        <n v="1006078.7"/>
        <n v="77065.8"/>
        <n v="1422655.92"/>
        <n v="299184.52"/>
        <n v="4391870.44"/>
        <n v="2323558.56"/>
        <n v="1914038.5"/>
        <n v="1475906.34"/>
        <n v="1078587.78"/>
        <n v="1466524.92"/>
        <n v="720155.2"/>
        <n v="3285120.8"/>
        <n v="4824241.13"/>
        <n v="1006319.92"/>
        <n v="104409.52"/>
        <n v="73231.17"/>
        <n v="85675.52"/>
        <n v="3318348"/>
        <n v="65310"/>
        <n v="974914.32"/>
        <n v="70083.65"/>
        <n v="3303588.33"/>
        <n v="1013283.78"/>
        <n v="2540036"/>
        <n v="81935.46"/>
        <n v="2054840"/>
        <n v="1641705.68"/>
        <n v="4796173.79"/>
        <n v="68864.73"/>
        <n v="4975244.4"/>
        <n v="1091427.96"/>
        <n v="262208.7"/>
        <n v="1121310.42"/>
        <n v="5236379.61"/>
        <n v="5638176.18"/>
        <n v="1285322.58"/>
        <n v="102539.45"/>
        <n v="219106.4"/>
        <n v="3156907.48"/>
        <n v="79649.02"/>
        <n v="4488101.32"/>
        <n v="267517.44"/>
        <n v="1037395.04"/>
        <n v="18837.27"/>
        <n v="36293.7"/>
        <n v="3920372.4"/>
        <n v="978435.06"/>
        <n v="2147690.58"/>
        <n v="470229.5"/>
        <n v="794431.36"/>
        <n v="1341025.62"/>
        <n v="944165.04"/>
        <n v="205983"/>
        <n v="1322239.6"/>
        <n v="569994.7"/>
        <n v="951936.74"/>
        <n v="424867.3"/>
        <n v="3241777.77"/>
        <n v="4292966.48"/>
        <n v="4097831.64"/>
        <n v="639315.6"/>
        <n v="78092.1"/>
        <n v="189800"/>
        <n v="1627410"/>
        <n v="118896.64"/>
        <n v="1047011.68"/>
        <n v="3290561.48"/>
        <n v="3664124.41"/>
        <n v="922104.64"/>
        <n v="183251.9"/>
        <n v="2415989.1"/>
        <n v="649177.04"/>
        <n v="4685909.24"/>
        <n v="708276.36"/>
        <n v="821565.8"/>
        <n v="185488.24"/>
        <n v="2005075.59"/>
        <n v="676387.14"/>
        <n v="1378255.14"/>
        <n v="905102.5"/>
        <n v="1300420.46"/>
        <n v="4256308.56"/>
        <n v="2772285.2"/>
        <n v="1084940"/>
        <n v="1008858.96"/>
        <n v="1341575.4"/>
        <n v="77818"/>
        <n v="5856050.01"/>
        <n v="441491.2"/>
        <n v="4012293.08"/>
        <n v="480067.04"/>
      </sharedItems>
    </cacheField>
    <cacheField name="Total Cost" numFmtId="2">
      <sharedItems containsSemiMixedTypes="0" containsString="0" containsNumber="1" minValue="10144.72" maxValue="4545103.68" count="150">
        <n v="3004184.12"/>
        <n v="3693166.46"/>
        <n v="2387349.78"/>
        <n v="136379.1"/>
        <n v="4154008.48"/>
        <n v="1010190.86"/>
        <n v="496897.73"/>
        <n v="730076.97"/>
        <n v="2642857.86"/>
        <n v="1274077.92"/>
        <n v="1003070.64"/>
        <n v="111392.16"/>
        <n v="2741858.24"/>
        <n v="779244.96"/>
        <n v="175353.64"/>
        <n v="24614.44"/>
        <n v="128018.33"/>
        <n v="228125.04"/>
        <n v="2526632.48"/>
        <n v="302100.9"/>
        <n v="1352726.21"/>
        <n v="550438.56"/>
        <n v="146806.22"/>
        <n v="239662.08"/>
        <n v="357002.24"/>
        <n v="981867.78"/>
        <n v="2241830.94"/>
        <n v="482133.12"/>
        <n v="477358.56"/>
        <n v="2329153.85"/>
        <n v="711845.76"/>
        <n v="751260.65"/>
        <n v="380511.85"/>
        <n v="22400"/>
        <n v="1327709.86"/>
        <n v="26434.4"/>
        <n v="44993.84"/>
        <n v="284883.69"/>
        <n v="42434.56"/>
        <n v="80317.44"/>
        <n v="224278.45"/>
        <n v="199753.26"/>
        <n v="91904.89"/>
        <n v="2647883.26"/>
        <n v="821331.84"/>
        <n v="253048.4"/>
        <n v="2055027.32"/>
        <n v="202577.76"/>
        <n v="251489.28"/>
        <n v="855559.17"/>
        <n v="159299.69"/>
        <n v="1158652"/>
        <n v="10144.72"/>
        <n v="851741.31"/>
        <n v="252507.97"/>
        <n v="22047.12"/>
        <n v="908422.27"/>
        <n v="2419212.71"/>
        <n v="758839.2"/>
        <n v="572785.01"/>
        <n v="57159.2"/>
        <n v="908530.56"/>
        <n v="176586.06"/>
        <n v="3302692.88"/>
        <n v="1451040.84"/>
        <n v="1089708.55"/>
        <n v="942537.12"/>
        <n v="811099.56"/>
        <n v="1182209.92"/>
        <n v="236185.6"/>
        <n v="1978661.62"/>
        <n v="3627836.26"/>
        <n v="593954.76"/>
        <n v="65202.78"/>
        <n v="54315.08"/>
        <n v="28098.56"/>
        <n v="1998674.7"/>
        <n v="48440"/>
        <n v="608824.98"/>
        <n v="46953.83"/>
        <n v="2663122.08"/>
        <n v="647099.04"/>
        <n v="1586229"/>
        <n v="52325.28"/>
        <n v="1237651"/>
        <n v="1025230.02"/>
        <n v="3606729.58"/>
        <n v="51076.52"/>
        <n v="4010694.4"/>
        <n v="879832.96"/>
        <n v="175671.54"/>
        <n v="716086.56"/>
        <n v="4221203.36"/>
        <n v="4545103.68"/>
        <n v="758628.99"/>
        <n v="68698.19"/>
        <n v="71859.2"/>
        <n v="2373998.96"/>
        <n v="47010.81"/>
        <n v="3375058.64"/>
        <n v="87736.32"/>
        <n v="340229.12"/>
        <n v="13971.48"/>
        <n v="26918.8"/>
        <n v="2361280.11"/>
        <n v="577496.43"/>
        <n v="1731318.08"/>
        <n v="315038.9"/>
        <n v="496115.04"/>
        <n v="856400.16"/>
        <n v="602958.72"/>
        <n v="131544"/>
        <n v="752783.08"/>
        <n v="324511.81"/>
        <n v="561856.47"/>
        <n v="284647.66"/>
        <n v="2437821.54"/>
        <n v="3228316.96"/>
        <n v="3081575.28"/>
        <n v="363977.88"/>
        <n v="57920.4"/>
        <n v="127160"/>
        <n v="1016302.5"/>
        <n v="38993.92"/>
        <n v="343383.04"/>
        <n v="2474506.96"/>
        <n v="2755426.82"/>
        <n v="302417.92"/>
        <n v="122772.98"/>
        <n v="1947601.6"/>
        <n v="405405.06"/>
        <n v="3523810.48"/>
        <n v="452316.48"/>
        <n v="467737.34"/>
        <n v="109479.72"/>
        <n v="1616351.84"/>
        <n v="431951.52"/>
        <n v="880175.52"/>
        <n v="534213.75"/>
        <n v="767540.13"/>
        <n v="3431138.56"/>
        <n v="1669775.53"/>
        <n v="677535"/>
        <n v="644273.28"/>
        <n v="763791.42"/>
        <n v="52135.6"/>
        <n v="4403758.02"/>
        <n v="144793.6"/>
        <n v="3017250.16"/>
        <n v="157445.12"/>
      </sharedItems>
    </cacheField>
    <cacheField name="Total Profit" numFmtId="2">
      <sharedItems containsSemiMixedTypes="0" containsString="0" containsNumber="1" minValue="3533.06" maxValue="1597343.69" count="150">
        <n v="990733.94"/>
        <n v="1217949.77"/>
        <n v="1576305.42"/>
        <n v="67181.4"/>
        <n v="999016.25"/>
        <n v="764177.34"/>
        <n v="375887.37"/>
        <n v="506870.77"/>
        <n v="871574.069999999"/>
        <n v="306408.75"/>
        <n v="603151.12"/>
        <n v="54872.64"/>
        <n v="904222.88"/>
        <n v="468563.68"/>
        <n v="86380.56"/>
        <n v="8572.37"/>
        <n v="63062.82"/>
        <n v="112376.16"/>
        <n v="607641.25"/>
        <n v="181654.7"/>
        <n v="893170.19"/>
        <n v="311485.86"/>
        <n v="72317.88"/>
        <n v="491093.28"/>
        <n v="731535.84"/>
        <n v="590401.74"/>
        <n v="739321.53"/>
        <n v="272832.72"/>
        <n v="270130.86"/>
        <n v="1537880.15"/>
        <n v="171195"/>
        <n v="568304.85"/>
        <n v="251242.15"/>
        <n v="45900"/>
        <n v="876652.54"/>
        <n v="9206.2"/>
        <n v="15669.82"/>
        <n v="197786.29"/>
        <n v="86952.96"/>
        <n v="164579.04"/>
        <n v="110481.3"/>
        <n v="120112.58"/>
        <n v="45273.06"/>
        <n v="873231.37"/>
        <n v="493870.72"/>
        <n v="124653.6"/>
        <n v="1356881.48"/>
        <n v="114636.06"/>
        <n v="515328.48"/>
        <n v="564903.63"/>
        <n v="78472.26"/>
        <n v="765028"/>
        <n v="3533.06"/>
        <n v="591338.71"/>
        <n v="124387.38"/>
        <n v="7678.26"/>
        <n v="687192.63"/>
        <n v="1597343.69"/>
        <n v="456293.6"/>
        <n v="433293.69"/>
        <n v="19906.6"/>
        <n v="514125.36"/>
        <n v="122598.46"/>
        <n v="1089177.56"/>
        <n v="872517.72"/>
        <n v="824329.95"/>
        <n v="533369.22"/>
        <n v="267488.22"/>
        <n v="284315"/>
        <n v="483969.6"/>
        <n v="1306459.18"/>
        <n v="1196404.87"/>
        <n v="412365.16"/>
        <n v="39206.74"/>
        <n v="18916.09"/>
        <n v="57576.96"/>
        <n v="1319673.3"/>
        <n v="16870"/>
        <n v="366089.34"/>
        <n v="23129.82"/>
        <n v="640466.25"/>
        <n v="366184.74"/>
        <n v="953807"/>
        <n v="29610.18"/>
        <n v="817189"/>
        <n v="616475.66"/>
        <n v="1189444.21"/>
        <n v="17788.21"/>
        <n v="964550"/>
        <n v="211595"/>
        <n v="86537.16"/>
        <n v="405223.86"/>
        <n v="1015176.25"/>
        <n v="1093072.5"/>
        <n v="526693.59"/>
        <n v="33841.26"/>
        <n v="147247.2"/>
        <n v="782908.52"/>
        <n v="32638.21"/>
        <n v="1113042.68"/>
        <n v="179781.12"/>
        <n v="697165.92"/>
        <n v="4865.79"/>
        <n v="9374.9"/>
        <n v="1559092.29"/>
        <n v="400938.63"/>
        <n v="416372.5"/>
        <n v="155190.6"/>
        <n v="298316.32"/>
        <n v="484625.46"/>
        <n v="341206.32"/>
        <n v="74439"/>
        <n v="569456.52"/>
        <n v="245482.89"/>
        <n v="390080.27"/>
        <n v="140219.64"/>
        <n v="803956.23"/>
        <n v="1064649.52"/>
        <n v="1016256.36"/>
        <n v="275337.72"/>
        <n v="20171.7"/>
        <n v="62640"/>
        <n v="611107.5"/>
        <n v="79902.72"/>
        <n v="703628.64"/>
        <n v="816054.52"/>
        <n v="908697.589999999"/>
        <n v="619686.72"/>
        <n v="60478.92"/>
        <n v="468387.5"/>
        <n v="243771.98"/>
        <n v="1162098.76"/>
        <n v="255959.88"/>
        <n v="353828.46"/>
        <n v="76008.52"/>
        <n v="388723.75"/>
        <n v="244435.62"/>
        <n v="498079.62"/>
        <n v="370888.75"/>
        <n v="532880.33"/>
        <n v="825170.000000001"/>
        <n v="1102509.67"/>
        <n v="407405"/>
        <n v="364585.68"/>
        <n v="577783.98"/>
        <n v="25682.4"/>
        <n v="1452291.99"/>
        <n v="296697.6"/>
        <n v="995042.92"/>
        <n v="322621.92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invalid="1" refreshOnLoad="1" refreshedVersion="5" refreshedDate="46299.8155555556" refreshedBy="singh" recordCount="150">
  <cacheSource type="worksheet">
    <worksheetSource ref="A1:O151" sheet="Sales_Data"/>
  </cacheSource>
  <cacheFields count="15">
    <cacheField name="Region" numFmtId="0">
      <sharedItems count="7">
        <s v="Australia and Oceania"/>
        <s v="Europe"/>
        <s v="North America"/>
        <s v="Asia"/>
        <s v="Central America and the Caribbean"/>
        <s v="Sub-Saharan Africa"/>
        <s v="Middle East and North Africa"/>
      </sharedItems>
    </cacheField>
    <cacheField name="Country" numFmtId="0">
      <sharedItems count="25">
        <s v="Fiji"/>
        <s v="Estonia"/>
        <s v="Canada"/>
        <s v="India"/>
        <s v="Montenegro"/>
        <s v="Jamaica"/>
        <s v="Sudan"/>
        <s v="Australia"/>
        <s v="USA"/>
        <s v="Japan"/>
        <s v="Senegal"/>
        <s v="Eritrea"/>
        <s v="Cape Verde"/>
        <s v="Armenia"/>
        <s v="Libya"/>
        <s v="Saudi Arabia"/>
        <s v="Federated States of Micronesia"/>
        <s v="Greece"/>
        <s v="Panama"/>
        <s v="Maldives"/>
        <s v="UK"/>
        <s v="Egypt"/>
        <s v="Chad"/>
        <s v="Greenland"/>
        <s v="Bulgaria"/>
      </sharedItems>
    </cacheField>
    <cacheField name="Item Type" numFmtId="0">
      <sharedItems count="10">
        <s v="Household"/>
        <s v="Cosmetics"/>
        <s v="Beverages"/>
        <s v="Office Supplies"/>
        <s v="Cereal"/>
        <s v="Vegetables"/>
        <s v="Baby Food"/>
        <s v="Fruits"/>
        <s v="Snacks"/>
        <s v="Clothes"/>
      </sharedItems>
    </cacheField>
    <cacheField name="Rep Name" numFmtId="0">
      <sharedItems count="22">
        <s v="Gavin Gill"/>
        <s v="Sean Glover"/>
        <s v="Karen Clark"/>
        <s v="Robert Davies"/>
        <s v="Diana Black"/>
        <s v="Katherine Scott"/>
        <s v="Victor Reid"/>
        <s v="Nicholas McLean"/>
        <s v="Justin Scott"/>
        <s v="Jack MacLeod"/>
        <s v="Lauren Marshall"/>
        <s v="Trevor Hemmings"/>
        <s v="Molly Jackson"/>
        <s v="Jan Johnston"/>
        <s v="Piers MacLeod"/>
        <s v="Evan Vaughan"/>
        <s v="Rose Paige"/>
        <s v="Liam Wilkins"/>
        <s v="Irene Hill"/>
        <s v="Jan Dyer"/>
        <s v="Amy Hemmings"/>
        <s v="Sam King"/>
      </sharedItems>
    </cacheField>
    <cacheField name="Sales Channel" numFmtId="0">
      <sharedItems count="2">
        <s v="Offline"/>
        <s v="Online"/>
      </sharedItems>
    </cacheField>
    <cacheField name="Order Priority" numFmtId="0">
      <sharedItems count="4">
        <s v="C"/>
        <s v="M"/>
        <s v="L"/>
        <s v="H"/>
      </sharedItems>
    </cacheField>
    <cacheField name="Order Date" numFmtId="0">
      <sharedItems containsSemiMixedTypes="0" containsString="0" containsNonDate="0" containsDate="1" minDate="2010-01-04T00:00:00" maxDate="2017-12-24T00:00:00" count="146">
        <d v="2011-04-12T00:00:00"/>
        <d v="2012-02-09T00:00:00"/>
        <d v="2016-04-19T00:00:00"/>
        <d v="2017-06-27T00:00:00"/>
        <d v="2011-08-24T00:00:00"/>
        <d v="2016-12-31T00:00:00"/>
        <d v="2012-10-18T00:00:00"/>
        <d v="2015-06-05T00:00:00"/>
        <d v="2010-12-04T00:00:00"/>
        <d v="2017-01-12T00:00:00"/>
        <d v="2011-02-23T00:00:00"/>
        <d v="2010-07-20T00:00:00"/>
        <d v="2015-03-11T00:00:00"/>
        <d v="2011-05-18T00:00:00"/>
        <d v="2012-05-13T00:00:00"/>
        <d v="2011-06-25T00:00:00"/>
        <d v="2017-05-17T00:00:00"/>
        <d v="2013-11-09T00:00:00"/>
        <d v="2014-01-19T00:00:00"/>
        <d v="2015-06-22T00:00:00"/>
        <d v="2014-06-25T00:00:00"/>
        <d v="2016-08-29T00:00:00"/>
        <d v="2012-04-15T00:00:00"/>
        <d v="2010-07-17T00:00:00"/>
        <d v="2011-10-22T00:00:00"/>
        <d v="2015-01-18T00:00:00"/>
        <d v="2016-11-25T00:00:00"/>
        <d v="2012-10-13T00:00:00"/>
        <d v="2014-08-10T00:00:00"/>
        <d v="2013-12-14T00:00:00"/>
        <d v="2015-04-04T00:00:00"/>
        <d v="2012-03-26T00:00:00"/>
        <d v="2012-08-12T00:00:00"/>
        <d v="2016-10-21T00:00:00"/>
        <d v="2011-03-29T00:00:00"/>
        <d v="2014-11-04T00:00:00"/>
        <d v="2013-02-13T00:00:00"/>
        <d v="2011-07-24T00:00:00"/>
        <d v="2016-12-12T00:00:00"/>
        <d v="2014-09-02T00:00:00"/>
        <d v="2011-11-16T00:00:00"/>
        <d v="2012-04-13T00:00:00"/>
        <d v="2016-06-10T00:00:00"/>
        <d v="2010-01-05T00:00:00"/>
        <d v="2010-09-26T00:00:00"/>
        <d v="2015-01-28T00:00:00"/>
        <d v="2013-01-24T00:00:00"/>
        <d v="2016-04-13T00:00:00"/>
        <d v="2012-10-05T00:00:00"/>
        <d v="2017-01-13T00:00:00"/>
        <d v="2017-09-17T00:00:00"/>
        <d v="2017-06-30T00:00:00"/>
        <d v="2013-12-11T00:00:00"/>
        <d v="2017-08-06T00:00:00"/>
        <d v="2012-04-05T00:00:00"/>
        <d v="2016-11-09T00:00:00"/>
        <d v="2015-11-14T00:00:00"/>
        <d v="2017-12-24T00:00:00"/>
        <d v="2016-10-28T00:00:00"/>
        <d v="2010-05-24T00:00:00"/>
        <d v="2013-03-13T00:00:00"/>
        <d v="2013-03-02T00:00:00"/>
        <d v="2012-08-11T00:00:00"/>
        <d v="2017-10-13T00:00:00"/>
        <d v="2015-01-31T00:00:00"/>
        <d v="2014-12-16T00:00:00"/>
        <d v="2012-01-24T00:00:00"/>
        <d v="2016-08-31T00:00:00"/>
        <d v="2010-05-14T00:00:00"/>
        <d v="2013-06-06T00:00:00"/>
        <d v="2017-05-27T00:00:00"/>
        <d v="2011-10-30T00:00:00"/>
        <d v="2015-05-01T00:00:00"/>
        <d v="2010-09-13T00:00:00"/>
        <d v="2016-01-03T00:00:00"/>
        <d v="2014-06-22T00:00:00"/>
        <d v="2015-03-09T00:00:00"/>
        <d v="2013-03-14T00:00:00"/>
        <d v="2014-01-09T00:00:00"/>
        <d v="2012-02-10T00:00:00"/>
        <d v="2017-08-17T00:00:00"/>
        <d v="2010-06-15T00:00:00"/>
        <d v="2015-12-21T00:00:00"/>
        <d v="2017-02-06T00:00:00"/>
        <d v="2017-12-05T00:00:00"/>
        <d v="2011-10-29T00:00:00"/>
        <d v="2011-11-13T00:00:00"/>
        <d v="2016-07-25T00:00:00"/>
        <d v="2010-12-31T00:00:00"/>
        <d v="2014-03-12T00:00:00"/>
        <d v="2012-11-28T00:00:00"/>
        <d v="2015-09-04T00:00:00"/>
        <d v="2014-02-02T00:00:00"/>
        <d v="2017-07-02T00:00:00"/>
        <d v="2013-12-31T00:00:00"/>
        <d v="2010-08-31T00:00:00"/>
        <d v="2010-01-04T00:00:00"/>
        <d v="2014-01-04T00:00:00"/>
        <d v="2011-12-25T00:00:00"/>
        <d v="2017-12-02T00:00:00"/>
        <d v="2015-08-23T00:00:00"/>
        <d v="2015-06-18T00:00:00"/>
        <d v="2010-08-24T00:00:00"/>
        <d v="2017-01-04T00:00:00"/>
        <d v="2017-10-16T00:00:00"/>
        <d v="2012-12-01T00:00:00"/>
        <d v="2011-07-29T00:00:00"/>
        <d v="2015-11-22T00:00:00"/>
        <d v="2014-01-11T00:00:00"/>
        <d v="2013-01-25T00:00:00"/>
        <d v="2011-06-01T00:00:00"/>
        <d v="2015-08-25T00:00:00"/>
        <d v="2012-03-04T00:00:00"/>
        <d v="2011-12-13T00:00:00"/>
        <d v="2014-06-28T00:00:00"/>
        <d v="2011-08-27T00:00:00"/>
        <d v="2013-12-01T00:00:00"/>
        <d v="2015-01-29T00:00:00"/>
        <d v="2016-06-18T00:00:00"/>
        <d v="2011-04-20T00:00:00"/>
        <d v="2015-06-14T00:00:00"/>
        <d v="2012-08-24T00:00:00"/>
        <d v="2014-11-28T00:00:00"/>
        <d v="2017-06-10T00:00:00"/>
        <d v="2017-03-22T00:00:00"/>
        <d v="2015-04-05T00:00:00"/>
        <d v="2015-11-05T00:00:00"/>
        <d v="2016-10-26T00:00:00"/>
        <d v="2013-07-11T00:00:00"/>
        <d v="2011-03-28T00:00:00"/>
        <d v="2010-11-26T00:00:00"/>
        <d v="2017-11-02T00:00:00"/>
        <d v="2011-01-31T00:00:00"/>
        <d v="2015-03-06T00:00:00"/>
        <d v="2017-01-17T00:00:00"/>
        <d v="2016-12-16T00:00:00"/>
        <d v="2015-12-16T00:00:00"/>
        <d v="2013-11-02T00:00:00"/>
        <d v="2011-09-02T00:00:00"/>
        <d v="2017-05-05T00:00:00"/>
        <d v="2010-04-08T00:00:00"/>
        <d v="2014-10-29T00:00:00"/>
        <d v="2017-07-23T00:00:00"/>
        <d v="2010-05-11T00:00:00"/>
        <d v="2017-06-01T00:00:00"/>
        <d v="2013-01-17T00:00:00"/>
      </sharedItems>
      <fieldGroup base="6">
        <rangePr groupBy="years" startDate="2010-01-04T00:00:00" endDate="2017-12-24T00:00:00" groupInterval="1"/>
        <groupItems count="10">
          <s v="&lt;1/4/2010"/>
          <s v="2010"/>
          <s v="2011"/>
          <s v="2012"/>
          <s v="2013"/>
          <s v="2014"/>
          <s v="2015"/>
          <s v="2016"/>
          <s v="2017"/>
          <s v="&gt;12/24/2017"/>
        </groupItems>
      </fieldGroup>
    </cacheField>
    <cacheField name="Order ID" numFmtId="0">
      <sharedItems containsSemiMixedTypes="0" containsString="0" containsNumber="1" containsInteger="1" minValue="110047595" maxValue="997600872" count="150">
        <n v="349467210"/>
        <n v="454088427"/>
        <n v="277077808"/>
        <n v="572190436"/>
        <n v="350814705"/>
        <n v="247697582"/>
        <n v="993102645"/>
        <n v="520477197"/>
        <n v="558502041"/>
        <n v="722261376"/>
        <n v="555094650"/>
        <n v="956634123"/>
        <n v="689324250"/>
        <n v="273660954"/>
        <n v="376406835"/>
        <n v="928299788"/>
        <n v="330519835"/>
        <n v="860672189"/>
        <n v="819024776"/>
        <n v="180705119"/>
        <n v="172073914"/>
        <n v="876124029"/>
        <n v="613911991"/>
        <n v="253651082"/>
        <n v="171244178"/>
        <n v="733816999"/>
        <n v="278017694"/>
        <n v="499873327"/>
        <n v="731833730"/>
        <n v="825799015"/>
        <n v="924183605"/>
        <n v="600229623"/>
        <n v="165293686"/>
        <n v="663236122"/>
        <n v="409255683"/>
        <n v="865872407"/>
        <n v="919956639"/>
        <n v="400910439"/>
        <n v="411603161"/>
        <n v="358185058"/>
        <n v="744090176"/>
        <n v="436210646"/>
        <n v="328773646"/>
        <n v="466564547"/>
        <n v="276383634"/>
        <n v="865854846"/>
        <n v="788042471"/>
        <n v="383627673"/>
        <n v="552949741"/>
        <n v="687037795"/>
        <n v="890118380"/>
        <n v="715418235"/>
        <n v="767225929"/>
        <n v="768823641"/>
        <n v="647488156"/>
        <n v="344103359"/>
        <n v="603011990"/>
        <n v="755209744"/>
        <n v="492073291"/>
        <n v="285588834"/>
        <n v="491727212"/>
        <n v="691434966"/>
        <n v="534318588"/>
        <n v="449390340"/>
        <n v="369722099"/>
        <n v="848277850"/>
        <n v="406974333"/>
        <n v="745202424"/>
        <n v="340539820"/>
        <n v="331302370"/>
        <n v="295190712"/>
        <n v="828769657"/>
        <n v="227833288"/>
        <n v="587114542"/>
        <n v="746035632"/>
        <n v="674890494"/>
        <n v="338077364"/>
        <n v="961330509"/>
        <n v="837448816"/>
        <n v="385124544"/>
        <n v="698552461"/>
        <n v="564233777"/>
        <n v="244538583"/>
        <n v="731675779"/>
        <n v="518387393"/>
        <n v="745535690"/>
        <n v="840108209"/>
        <n v="480974484"/>
        <n v="444024793"/>
        <n v="215438617"/>
        <n v="257553165"/>
        <n v="947879673"/>
        <n v="483129685"/>
        <n v="551419529"/>
        <n v="348001134"/>
        <n v="561946175"/>
        <n v="756524997"/>
        <n v="788899111"/>
        <n v="388072325"/>
        <n v="343794766"/>
        <n v="228161931"/>
        <n v="322580384"/>
        <n v="357158785"/>
        <n v="555704101"/>
        <n v="885713012"/>
        <n v="419859605"/>
        <n v="805516244"/>
        <n v="885901969"/>
        <n v="432800992"/>
        <n v="602073266"/>
        <n v="652457838"/>
        <n v="222715546"/>
        <n v="495488096"/>
        <n v="271200135"/>
        <n v="511011140"/>
        <n v="262906457"/>
        <n v="539000043"/>
        <n v="558337657"/>
        <n v="586353709"/>
        <n v="563402894"/>
        <n v="458626216"/>
        <n v="823507546"/>
        <n v="245509876"/>
        <n v="997600872"/>
        <n v="388091276"/>
        <n v="636767792"/>
        <n v="247986933"/>
        <n v="580115612"/>
        <n v="485640223"/>
        <n v="547142965"/>
        <n v="337575970"/>
        <n v="705941941"/>
        <n v="992864662"/>
        <n v="494352531"/>
        <n v="633215492"/>
        <n v="227812971"/>
        <n v="278817575"/>
        <n v="668122009"/>
        <n v="379406633"/>
        <n v="986572630"/>
        <n v="671651820"/>
        <n v="814181627"/>
        <n v="698270100"/>
        <n v="902427637"/>
        <n v="981483258"/>
        <n v="799192960"/>
        <n v="110047595"/>
        <n v="960012873"/>
        <n v="781969366"/>
        <n v="929681210"/>
      </sharedItems>
    </cacheField>
    <cacheField name="Ship Date" numFmtId="178">
      <sharedItems containsSemiMixedTypes="0" containsString="0" containsNonDate="0" containsDate="1" minDate="2010-01-23T00:00:00" maxDate="2018-01-27T00:00:00" count="147">
        <d v="2011-05-09T00:00:00"/>
        <d v="2012-03-08T00:00:00"/>
        <d v="2016-05-18T00:00:00"/>
        <d v="2017-07-04T00:00:00"/>
        <d v="2011-09-11T00:00:00"/>
        <d v="2017-01-12T00:00:00"/>
        <d v="2012-10-28T00:00:00"/>
        <d v="2015-07-15T00:00:00"/>
        <d v="2011-01-01T00:00:00"/>
        <d v="2017-02-09T00:00:00"/>
        <d v="2011-04-01T00:00:00"/>
        <d v="2010-08-01T00:00:00"/>
        <d v="2015-04-06T00:00:00"/>
        <d v="2011-06-05T00:00:00"/>
        <d v="2012-06-25T00:00:00"/>
        <d v="2011-08-04T00:00:00"/>
        <d v="2017-06-18T00:00:00"/>
        <d v="2013-12-10T00:00:00"/>
        <d v="2014-02-19T00:00:00"/>
        <d v="2015-07-28T00:00:00"/>
        <d v="2014-07-16T00:00:00"/>
        <d v="2016-09-21T00:00:00"/>
        <d v="2012-04-30T00:00:00"/>
        <d v="2010-08-12T00:00:00"/>
        <d v="2011-12-01T00:00:00"/>
        <d v="2015-02-24T00:00:00"/>
        <d v="2016-12-22T00:00:00"/>
        <d v="2012-10-19T00:00:00"/>
        <d v="2014-08-30T00:00:00"/>
        <d v="2014-01-25T00:00:00"/>
        <d v="2015-04-26T00:00:00"/>
        <d v="2012-04-19T00:00:00"/>
        <d v="2012-09-07T00:00:00"/>
        <d v="2016-11-02T00:00:00"/>
        <d v="2011-04-21T00:00:00"/>
        <d v="2014-12-15T00:00:00"/>
        <d v="2013-03-10T00:00:00"/>
        <d v="2011-07-31T00:00:00"/>
        <d v="2016-12-18T00:00:00"/>
        <d v="2014-10-02T00:00:00"/>
        <d v="2011-12-10T00:00:00"/>
        <d v="2012-05-19T00:00:00"/>
        <d v="2016-06-20T00:00:00"/>
        <d v="2010-02-17T00:00:00"/>
        <d v="2010-10-30T00:00:00"/>
        <d v="2013-02-22T00:00:00"/>
        <d v="2016-04-20T00:00:00"/>
        <d v="2012-11-08T00:00:00"/>
        <d v="2017-01-22T00:00:00"/>
        <d v="2017-09-26T00:00:00"/>
        <d v="2017-08-08T00:00:00"/>
        <d v="2014-01-24T00:00:00"/>
        <d v="2017-08-27T00:00:00"/>
        <d v="2012-04-20T00:00:00"/>
        <d v="2016-12-07T00:00:00"/>
        <d v="2015-12-12T00:00:00"/>
        <d v="2018-01-27T00:00:00"/>
        <d v="2016-11-20T00:00:00"/>
        <d v="2010-06-02T00:00:00"/>
        <d v="2013-04-25T00:00:00"/>
        <d v="2013-04-10T00:00:00"/>
        <d v="2012-09-01T00:00:00"/>
        <d v="2017-10-19T00:00:00"/>
        <d v="2015-02-26T00:00:00"/>
        <d v="2015-01-28T00:00:00"/>
        <d v="2012-02-25T00:00:00"/>
        <d v="2016-09-17T00:00:00"/>
        <d v="2010-06-19T00:00:00"/>
        <d v="2013-07-16T00:00:00"/>
        <d v="2017-06-23T00:00:00"/>
        <d v="2011-11-11T00:00:00"/>
        <d v="2015-05-22T00:00:00"/>
        <d v="2010-09-22T00:00:00"/>
        <d v="2016-02-08T00:00:00"/>
        <d v="2014-07-31T00:00:00"/>
        <d v="2015-03-16T00:00:00"/>
        <d v="2013-04-08T00:00:00"/>
        <d v="2014-01-14T00:00:00"/>
        <d v="2012-02-26T00:00:00"/>
        <d v="2013-07-01T00:00:00"/>
        <d v="2017-09-28T00:00:00"/>
        <d v="2010-07-22T00:00:00"/>
        <d v="2016-01-23T00:00:00"/>
        <d v="2017-02-16T00:00:00"/>
        <d v="2018-01-09T00:00:00"/>
        <d v="2011-12-09T00:00:00"/>
        <d v="2017-02-24T00:00:00"/>
        <d v="2016-08-15T00:00:00"/>
        <d v="2011-01-30T00:00:00"/>
        <d v="2014-04-03T00:00:00"/>
        <d v="2012-12-19T00:00:00"/>
        <d v="2015-09-12T00:00:00"/>
        <d v="2014-03-12T00:00:00"/>
        <d v="2017-08-01T00:00:00"/>
        <d v="2014-01-26T00:00:00"/>
        <d v="2010-10-05T00:00:00"/>
        <d v="2010-01-23T00:00:00"/>
        <d v="2014-01-10T00:00:00"/>
        <d v="2012-01-31T00:00:00"/>
        <d v="2017-12-09T00:00:00"/>
        <d v="2015-10-06T00:00:00"/>
        <d v="2015-07-07T00:00:00"/>
        <d v="2010-09-11T00:00:00"/>
        <d v="2017-02-17T00:00:00"/>
        <d v="2017-11-24T00:00:00"/>
        <d v="2012-12-30T00:00:00"/>
        <d v="2011-08-17T00:00:00"/>
        <d v="2016-01-04T00:00:00"/>
        <d v="2014-01-30T00:00:00"/>
        <d v="2013-03-07T00:00:00"/>
        <d v="2011-06-15T00:00:00"/>
        <d v="2015-09-27T00:00:00"/>
        <d v="2012-04-04T00:00:00"/>
        <d v="2012-01-09T00:00:00"/>
        <d v="2014-07-14T00:00:00"/>
        <d v="2011-10-01T00:00:00"/>
        <d v="2013-12-06T00:00:00"/>
        <d v="2015-03-14T00:00:00"/>
        <d v="2016-07-18T00:00:00"/>
        <d v="2011-05-28T00:00:00"/>
        <d v="2015-06-24T00:00:00"/>
        <d v="2012-09-14T00:00:00"/>
        <d v="2015-01-03T00:00:00"/>
        <d v="2017-07-13T00:00:00"/>
        <d v="2017-03-28T00:00:00"/>
        <d v="2015-04-17T00:00:00"/>
        <d v="2015-12-07T00:00:00"/>
        <d v="2016-11-07T00:00:00"/>
        <d v="2013-08-18T00:00:00"/>
        <d v="2011-05-08T00:00:00"/>
        <d v="2010-12-07T00:00:00"/>
        <d v="2017-11-11T00:00:00"/>
        <d v="2011-02-24T00:00:00"/>
        <d v="2015-04-01T00:00:00"/>
        <d v="2017-01-30T00:00:00"/>
        <d v="2016-12-24T00:00:00"/>
        <d v="2016-01-10T00:00:00"/>
        <d v="2013-11-18T00:00:00"/>
        <d v="2011-09-18T00:00:00"/>
        <d v="2017-05-11T00:00:00"/>
        <d v="2012-04-06T00:00:00"/>
        <d v="2010-05-06T00:00:00"/>
        <d v="2014-11-19T00:00:00"/>
        <d v="2017-09-05T00:00:00"/>
        <d v="2010-06-21T00:00:00"/>
        <d v="2017-06-22T00:00:00"/>
        <d v="2013-02-02T00:00:00"/>
      </sharedItems>
    </cacheField>
    <cacheField name="Units Sold" numFmtId="0">
      <sharedItems containsSemiMixedTypes="0" containsString="0" containsNumber="1" containsInteger="1" minValue="409" maxValue="9961" count="149">
        <n v="5978"/>
        <n v="7349"/>
        <n v="9066"/>
        <n v="4290"/>
        <n v="7913"/>
        <n v="8626"/>
        <n v="4243"/>
        <n v="8029"/>
        <n v="5259"/>
        <n v="2427"/>
        <n v="6292"/>
        <n v="3504"/>
        <n v="5456"/>
        <n v="4888"/>
        <n v="5516"/>
        <n v="3557"/>
        <n v="4027"/>
        <n v="7176"/>
        <n v="4813"/>
        <n v="1895"/>
        <n v="5137"/>
        <n v="5649"/>
        <n v="4618"/>
        <n v="6687"/>
        <n v="9961"/>
        <n v="6159"/>
        <n v="4461"/>
        <n v="4948"/>
        <n v="4899"/>
        <n v="8845"/>
        <n v="1356"/>
        <n v="6415"/>
        <n v="1445"/>
        <n v="625"/>
        <n v="5042"/>
        <n v="3820"/>
        <n v="6502"/>
        <n v="3133"/>
        <n v="1184"/>
        <n v="2241"/>
        <n v="7055"/>
        <n v="1253"/>
        <n v="2891"/>
        <n v="5269"/>
        <n v="5152"/>
        <n v="7960"/>
        <n v="7804"/>
        <n v="2079"/>
        <n v="7017"/>
        <n v="3249"/>
        <n v="5011"/>
        <n v="4400"/>
        <n v="1466"/>
        <n v="9367"/>
        <n v="7943"/>
        <n v="3186"/>
        <n v="7757"/>
        <n v="9187"/>
        <n v="4760"/>
        <n v="4891"/>
        <n v="8260"/>
        <n v="9324"/>
        <n v="1942"/>
        <n v="6572"/>
        <n v="9102"/>
        <n v="9305"/>
        <n v="9673"/>
        <n v="1614"/>
        <n v="2252"/>
        <n v="6590"/>
        <n v="7514"/>
        <n v="7219"/>
        <n v="6532"/>
        <n v="409"/>
        <n v="7849"/>
        <n v="784"/>
        <n v="7590"/>
        <n v="7000"/>
        <n v="3819"/>
        <n v="1477"/>
        <n v="5073"/>
        <n v="6641"/>
        <n v="9950"/>
        <n v="537"/>
        <n v="4700"/>
        <n v="6431"/>
        <n v="7177"/>
        <n v="7381"/>
        <n v="7640"/>
        <n v="1676"/>
        <n v="5526"/>
        <n v="8041"/>
        <n v="8658"/>
        <n v="8343"/>
        <n v="2161"/>
        <n v="2005"/>
        <n v="4724"/>
        <n v="517"/>
        <n v="6716"/>
        <n v="2448"/>
        <n v="9493"/>
        <n v="2019"/>
        <n v="3890"/>
        <n v="8967"/>
        <n v="6351"/>
        <n v="3298"/>
        <n v="9910"/>
        <n v="3112"/>
        <n v="8789"/>
        <n v="6188"/>
        <n v="1350"/>
        <n v="6428"/>
        <n v="2771"/>
        <n v="6179"/>
        <n v="8954"/>
        <n v="4851"/>
        <n v="6424"/>
        <n v="6132"/>
        <n v="3108"/>
        <n v="8370"/>
        <n v="4000"/>
        <n v="6375"/>
        <n v="1088"/>
        <n v="9581"/>
        <n v="4924"/>
        <n v="5483"/>
        <n v="8438"/>
        <n v="3862"/>
        <n v="3710"/>
        <n v="2543"/>
        <n v="7012"/>
        <n v="4642"/>
        <n v="3994"/>
        <n v="1204"/>
        <n v="3079"/>
        <n v="4433"/>
        <n v="9033"/>
        <n v="5875"/>
        <n v="8441"/>
        <n v="6536"/>
        <n v="6341"/>
        <n v="4250"/>
        <n v="6612"/>
        <n v="6522"/>
        <n v="1640"/>
        <n v="8763"/>
        <n v="4040"/>
        <n v="6004"/>
        <n v="4393"/>
      </sharedItems>
    </cacheField>
    <cacheField name="Unit Price" numFmtId="2">
      <sharedItems containsSemiMixedTypes="0" containsString="0" containsNumber="1" minValue="9.33" maxValue="668.27" count="10">
        <n v="668.27"/>
        <n v="437.2"/>
        <n v="47.45"/>
        <n v="651.21"/>
        <n v="205.7"/>
        <n v="154.06"/>
        <n v="255.28"/>
        <n v="9.33"/>
        <n v="152.58"/>
        <n v="109.28"/>
      </sharedItems>
    </cacheField>
    <cacheField name="Unit Cost" numFmtId="2">
      <sharedItems containsSemiMixedTypes="0" containsString="0" containsNumber="1" minValue="6.92" maxValue="524.96" count="10">
        <n v="502.54"/>
        <n v="263.33"/>
        <n v="31.79"/>
        <n v="524.96"/>
        <n v="117.11"/>
        <n v="90.93"/>
        <n v="159.42"/>
        <n v="6.92"/>
        <n v="97.44"/>
        <n v="35.84"/>
      </sharedItems>
    </cacheField>
    <cacheField name="Total Revenue" numFmtId="2">
      <sharedItems containsSemiMixedTypes="0" containsString="0" containsNumber="1" minValue="13677.78" maxValue="5856050.01" count="150">
        <n v="3994918.06"/>
        <n v="4911116.23"/>
        <n v="3963655.2"/>
        <n v="203560.5"/>
        <n v="5153024.73"/>
        <n v="1774368.2"/>
        <n v="872785.1"/>
        <n v="1236947.74"/>
        <n v="3514431.93"/>
        <n v="1580486.67"/>
        <n v="1606221.76"/>
        <n v="166264.8"/>
        <n v="3646081.12"/>
        <n v="1247808.64"/>
        <n v="261734.2"/>
        <n v="33186.81"/>
        <n v="191081.15"/>
        <n v="340501.2"/>
        <n v="3134273.73"/>
        <n v="483755.6"/>
        <n v="2245896.4"/>
        <n v="861924.42"/>
        <n v="219124.1"/>
        <n v="730755.36"/>
        <n v="1088538.08"/>
        <n v="1572269.52"/>
        <n v="2981152.47"/>
        <n v="754965.84"/>
        <n v="747489.42"/>
        <n v="3867034"/>
        <n v="883040.76"/>
        <n v="1319565.5"/>
        <n v="631754"/>
        <n v="68300"/>
        <n v="2204362.4"/>
        <n v="35640.6"/>
        <n v="60663.66"/>
        <n v="482669.98"/>
        <n v="129387.52"/>
        <n v="244896.48"/>
        <n v="334759.75"/>
        <n v="319865.84"/>
        <n v="137177.95"/>
        <n v="3521114.63"/>
        <n v="1315202.56"/>
        <n v="377702"/>
        <n v="3411908.8"/>
        <n v="317213.82"/>
        <n v="766817.76"/>
        <n v="1420462.8"/>
        <n v="237771.95"/>
        <n v="1923680"/>
        <n v="13677.78"/>
        <n v="1443080.02"/>
        <n v="376895.35"/>
        <n v="29725.38"/>
        <n v="1595614.9"/>
        <n v="4016556.4"/>
        <n v="1215132.8"/>
        <n v="1006078.7"/>
        <n v="77065.8"/>
        <n v="1422655.92"/>
        <n v="299184.52"/>
        <n v="4391870.44"/>
        <n v="2323558.56"/>
        <n v="1914038.5"/>
        <n v="1475906.34"/>
        <n v="1078587.78"/>
        <n v="1466524.92"/>
        <n v="720155.2"/>
        <n v="3285120.8"/>
        <n v="4824241.13"/>
        <n v="1006319.92"/>
        <n v="104409.52"/>
        <n v="73231.17"/>
        <n v="85675.52"/>
        <n v="3318348"/>
        <n v="65310"/>
        <n v="974914.32"/>
        <n v="70083.65"/>
        <n v="3303588.33"/>
        <n v="1013283.78"/>
        <n v="2540036"/>
        <n v="81935.46"/>
        <n v="2054840"/>
        <n v="1641705.68"/>
        <n v="4796173.79"/>
        <n v="68864.73"/>
        <n v="4975244.4"/>
        <n v="1091427.96"/>
        <n v="262208.7"/>
        <n v="1121310.42"/>
        <n v="5236379.61"/>
        <n v="5638176.18"/>
        <n v="1285322.58"/>
        <n v="102539.45"/>
        <n v="219106.4"/>
        <n v="3156907.48"/>
        <n v="79649.02"/>
        <n v="4488101.32"/>
        <n v="267517.44"/>
        <n v="1037395.04"/>
        <n v="18837.27"/>
        <n v="36293.7"/>
        <n v="3920372.4"/>
        <n v="978435.06"/>
        <n v="2147690.58"/>
        <n v="470229.5"/>
        <n v="794431.36"/>
        <n v="1341025.62"/>
        <n v="944165.04"/>
        <n v="205983"/>
        <n v="1322239.6"/>
        <n v="569994.7"/>
        <n v="951936.74"/>
        <n v="424867.3"/>
        <n v="3241777.77"/>
        <n v="4292966.48"/>
        <n v="4097831.64"/>
        <n v="639315.6"/>
        <n v="78092.1"/>
        <n v="189800"/>
        <n v="1627410"/>
        <n v="118896.64"/>
        <n v="1047011.68"/>
        <n v="3290561.48"/>
        <n v="3664124.41"/>
        <n v="922104.64"/>
        <n v="183251.9"/>
        <n v="2415989.1"/>
        <n v="649177.04"/>
        <n v="4685909.24"/>
        <n v="708276.36"/>
        <n v="821565.8"/>
        <n v="185488.24"/>
        <n v="2005075.59"/>
        <n v="676387.14"/>
        <n v="1378255.14"/>
        <n v="905102.5"/>
        <n v="1300420.46"/>
        <n v="4256308.56"/>
        <n v="2772285.2"/>
        <n v="1084940"/>
        <n v="1008858.96"/>
        <n v="1341575.4"/>
        <n v="77818"/>
        <n v="5856050.01"/>
        <n v="441491.2"/>
        <n v="4012293.08"/>
        <n v="480067.04"/>
      </sharedItems>
    </cacheField>
    <cacheField name="Total Cost" numFmtId="2">
      <sharedItems containsSemiMixedTypes="0" containsString="0" containsNumber="1" minValue="10144.72" maxValue="4545103.68" count="150">
        <n v="3004184.12"/>
        <n v="3693166.46"/>
        <n v="2387349.78"/>
        <n v="136379.1"/>
        <n v="4154008.48"/>
        <n v="1010190.86"/>
        <n v="496897.73"/>
        <n v="730076.97"/>
        <n v="2642857.86"/>
        <n v="1274077.92"/>
        <n v="1003070.64"/>
        <n v="111392.16"/>
        <n v="2741858.24"/>
        <n v="779244.96"/>
        <n v="175353.64"/>
        <n v="24614.44"/>
        <n v="128018.33"/>
        <n v="228125.04"/>
        <n v="2526632.48"/>
        <n v="302100.9"/>
        <n v="1352726.21"/>
        <n v="550438.56"/>
        <n v="146806.22"/>
        <n v="239662.08"/>
        <n v="357002.24"/>
        <n v="981867.78"/>
        <n v="2241830.94"/>
        <n v="482133.12"/>
        <n v="477358.56"/>
        <n v="2329153.85"/>
        <n v="711845.76"/>
        <n v="751260.65"/>
        <n v="380511.85"/>
        <n v="22400"/>
        <n v="1327709.86"/>
        <n v="26434.4"/>
        <n v="44993.84"/>
        <n v="284883.69"/>
        <n v="42434.56"/>
        <n v="80317.44"/>
        <n v="224278.45"/>
        <n v="199753.26"/>
        <n v="91904.89"/>
        <n v="2647883.26"/>
        <n v="821331.84"/>
        <n v="253048.4"/>
        <n v="2055027.32"/>
        <n v="202577.76"/>
        <n v="251489.28"/>
        <n v="855559.17"/>
        <n v="159299.69"/>
        <n v="1158652"/>
        <n v="10144.72"/>
        <n v="851741.31"/>
        <n v="252507.97"/>
        <n v="22047.12"/>
        <n v="908422.27"/>
        <n v="2419212.71"/>
        <n v="758839.2"/>
        <n v="572785.01"/>
        <n v="57159.2"/>
        <n v="908530.56"/>
        <n v="176586.06"/>
        <n v="3302692.88"/>
        <n v="1451040.84"/>
        <n v="1089708.55"/>
        <n v="942537.12"/>
        <n v="811099.56"/>
        <n v="1182209.92"/>
        <n v="236185.6"/>
        <n v="1978661.62"/>
        <n v="3627836.26"/>
        <n v="593954.76"/>
        <n v="65202.78"/>
        <n v="54315.08"/>
        <n v="28098.56"/>
        <n v="1998674.7"/>
        <n v="48440"/>
        <n v="608824.98"/>
        <n v="46953.83"/>
        <n v="2663122.08"/>
        <n v="647099.04"/>
        <n v="1586229"/>
        <n v="52325.28"/>
        <n v="1237651"/>
        <n v="1025230.02"/>
        <n v="3606729.58"/>
        <n v="51076.52"/>
        <n v="4010694.4"/>
        <n v="879832.96"/>
        <n v="175671.54"/>
        <n v="716086.56"/>
        <n v="4221203.36"/>
        <n v="4545103.68"/>
        <n v="758628.99"/>
        <n v="68698.19"/>
        <n v="71859.2"/>
        <n v="2373998.96"/>
        <n v="47010.81"/>
        <n v="3375058.64"/>
        <n v="87736.32"/>
        <n v="340229.12"/>
        <n v="13971.48"/>
        <n v="26918.8"/>
        <n v="2361280.11"/>
        <n v="577496.43"/>
        <n v="1731318.08"/>
        <n v="315038.9"/>
        <n v="496115.04"/>
        <n v="856400.16"/>
        <n v="602958.72"/>
        <n v="131544"/>
        <n v="752783.08"/>
        <n v="324511.81"/>
        <n v="561856.47"/>
        <n v="284647.66"/>
        <n v="2437821.54"/>
        <n v="3228316.96"/>
        <n v="3081575.28"/>
        <n v="363977.88"/>
        <n v="57920.4"/>
        <n v="127160"/>
        <n v="1016302.5"/>
        <n v="38993.92"/>
        <n v="343383.04"/>
        <n v="2474506.96"/>
        <n v="2755426.82"/>
        <n v="302417.92"/>
        <n v="122772.98"/>
        <n v="1947601.6"/>
        <n v="405405.06"/>
        <n v="3523810.48"/>
        <n v="452316.48"/>
        <n v="467737.34"/>
        <n v="109479.72"/>
        <n v="1616351.84"/>
        <n v="431951.52"/>
        <n v="880175.52"/>
        <n v="534213.75"/>
        <n v="767540.13"/>
        <n v="3431138.56"/>
        <n v="1669775.53"/>
        <n v="677535"/>
        <n v="644273.28"/>
        <n v="763791.42"/>
        <n v="52135.6"/>
        <n v="4403758.02"/>
        <n v="144793.6"/>
        <n v="3017250.16"/>
        <n v="157445.12"/>
      </sharedItems>
    </cacheField>
    <cacheField name="Total Profit" numFmtId="2">
      <sharedItems containsSemiMixedTypes="0" containsString="0" containsNumber="1" minValue="3533.06" maxValue="1597343.69" count="150">
        <n v="990733.94"/>
        <n v="1217949.77"/>
        <n v="1576305.42"/>
        <n v="67181.4"/>
        <n v="999016.25"/>
        <n v="764177.34"/>
        <n v="375887.37"/>
        <n v="506870.77"/>
        <n v="871574.069999999"/>
        <n v="306408.75"/>
        <n v="603151.12"/>
        <n v="54872.64"/>
        <n v="904222.88"/>
        <n v="468563.68"/>
        <n v="86380.56"/>
        <n v="8572.37"/>
        <n v="63062.82"/>
        <n v="112376.16"/>
        <n v="607641.25"/>
        <n v="181654.7"/>
        <n v="893170.19"/>
        <n v="311485.86"/>
        <n v="72317.88"/>
        <n v="491093.28"/>
        <n v="731535.84"/>
        <n v="590401.74"/>
        <n v="739321.53"/>
        <n v="272832.72"/>
        <n v="270130.86"/>
        <n v="1537880.15"/>
        <n v="171195"/>
        <n v="568304.85"/>
        <n v="251242.15"/>
        <n v="45900"/>
        <n v="876652.54"/>
        <n v="9206.2"/>
        <n v="15669.82"/>
        <n v="197786.29"/>
        <n v="86952.96"/>
        <n v="164579.04"/>
        <n v="110481.3"/>
        <n v="120112.58"/>
        <n v="45273.06"/>
        <n v="873231.37"/>
        <n v="493870.72"/>
        <n v="124653.6"/>
        <n v="1356881.48"/>
        <n v="114636.06"/>
        <n v="515328.48"/>
        <n v="564903.63"/>
        <n v="78472.26"/>
        <n v="765028"/>
        <n v="3533.06"/>
        <n v="591338.71"/>
        <n v="124387.38"/>
        <n v="7678.26"/>
        <n v="687192.63"/>
        <n v="1597343.69"/>
        <n v="456293.6"/>
        <n v="433293.69"/>
        <n v="19906.6"/>
        <n v="514125.36"/>
        <n v="122598.46"/>
        <n v="1089177.56"/>
        <n v="872517.72"/>
        <n v="824329.95"/>
        <n v="533369.22"/>
        <n v="267488.22"/>
        <n v="284315"/>
        <n v="483969.6"/>
        <n v="1306459.18"/>
        <n v="1196404.87"/>
        <n v="412365.16"/>
        <n v="39206.74"/>
        <n v="18916.09"/>
        <n v="57576.96"/>
        <n v="1319673.3"/>
        <n v="16870"/>
        <n v="366089.34"/>
        <n v="23129.82"/>
        <n v="640466.25"/>
        <n v="366184.74"/>
        <n v="953807"/>
        <n v="29610.18"/>
        <n v="817189"/>
        <n v="616475.66"/>
        <n v="1189444.21"/>
        <n v="17788.21"/>
        <n v="964550"/>
        <n v="211595"/>
        <n v="86537.16"/>
        <n v="405223.86"/>
        <n v="1015176.25"/>
        <n v="1093072.5"/>
        <n v="526693.59"/>
        <n v="33841.26"/>
        <n v="147247.2"/>
        <n v="782908.52"/>
        <n v="32638.21"/>
        <n v="1113042.68"/>
        <n v="179781.12"/>
        <n v="697165.92"/>
        <n v="4865.79"/>
        <n v="9374.9"/>
        <n v="1559092.29"/>
        <n v="400938.63"/>
        <n v="416372.5"/>
        <n v="155190.6"/>
        <n v="298316.32"/>
        <n v="484625.46"/>
        <n v="341206.32"/>
        <n v="74439"/>
        <n v="569456.52"/>
        <n v="245482.89"/>
        <n v="390080.27"/>
        <n v="140219.64"/>
        <n v="803956.23"/>
        <n v="1064649.52"/>
        <n v="1016256.36"/>
        <n v="275337.72"/>
        <n v="20171.7"/>
        <n v="62640"/>
        <n v="611107.5"/>
        <n v="79902.72"/>
        <n v="703628.64"/>
        <n v="816054.52"/>
        <n v="908697.589999999"/>
        <n v="619686.72"/>
        <n v="60478.92"/>
        <n v="468387.5"/>
        <n v="243771.98"/>
        <n v="1162098.76"/>
        <n v="255959.88"/>
        <n v="353828.46"/>
        <n v="76008.52"/>
        <n v="388723.75"/>
        <n v="244435.62"/>
        <n v="498079.62"/>
        <n v="370888.75"/>
        <n v="532880.33"/>
        <n v="825170.000000001"/>
        <n v="1102509.67"/>
        <n v="407405"/>
        <n v="364585.68"/>
        <n v="577783.98"/>
        <n v="25682.4"/>
        <n v="1452291.99"/>
        <n v="296697.6"/>
        <n v="995042.92"/>
        <n v="322621.9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">
  <r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1"/>
    <x v="1"/>
    <x v="1"/>
    <x v="1"/>
    <x v="1"/>
    <x v="0"/>
    <x v="0"/>
    <x v="1"/>
    <x v="1"/>
    <x v="1"/>
  </r>
  <r>
    <x v="2"/>
    <x v="2"/>
    <x v="1"/>
    <x v="2"/>
    <x v="1"/>
    <x v="0"/>
    <x v="2"/>
    <x v="2"/>
    <x v="2"/>
    <x v="2"/>
    <x v="1"/>
    <x v="1"/>
    <x v="2"/>
    <x v="2"/>
    <x v="2"/>
  </r>
  <r>
    <x v="3"/>
    <x v="3"/>
    <x v="2"/>
    <x v="3"/>
    <x v="0"/>
    <x v="0"/>
    <x v="3"/>
    <x v="3"/>
    <x v="3"/>
    <x v="3"/>
    <x v="2"/>
    <x v="2"/>
    <x v="3"/>
    <x v="3"/>
    <x v="3"/>
  </r>
  <r>
    <x v="0"/>
    <x v="0"/>
    <x v="3"/>
    <x v="4"/>
    <x v="1"/>
    <x v="2"/>
    <x v="4"/>
    <x v="4"/>
    <x v="4"/>
    <x v="4"/>
    <x v="3"/>
    <x v="3"/>
    <x v="4"/>
    <x v="4"/>
    <x v="4"/>
  </r>
  <r>
    <x v="1"/>
    <x v="4"/>
    <x v="4"/>
    <x v="5"/>
    <x v="1"/>
    <x v="3"/>
    <x v="5"/>
    <x v="5"/>
    <x v="5"/>
    <x v="5"/>
    <x v="4"/>
    <x v="4"/>
    <x v="5"/>
    <x v="5"/>
    <x v="5"/>
  </r>
  <r>
    <x v="4"/>
    <x v="5"/>
    <x v="4"/>
    <x v="6"/>
    <x v="1"/>
    <x v="2"/>
    <x v="6"/>
    <x v="6"/>
    <x v="6"/>
    <x v="6"/>
    <x v="4"/>
    <x v="4"/>
    <x v="6"/>
    <x v="6"/>
    <x v="6"/>
  </r>
  <r>
    <x v="4"/>
    <x v="5"/>
    <x v="5"/>
    <x v="2"/>
    <x v="1"/>
    <x v="0"/>
    <x v="7"/>
    <x v="7"/>
    <x v="7"/>
    <x v="7"/>
    <x v="5"/>
    <x v="5"/>
    <x v="7"/>
    <x v="7"/>
    <x v="7"/>
  </r>
  <r>
    <x v="0"/>
    <x v="0"/>
    <x v="0"/>
    <x v="0"/>
    <x v="1"/>
    <x v="1"/>
    <x v="8"/>
    <x v="8"/>
    <x v="8"/>
    <x v="8"/>
    <x v="0"/>
    <x v="0"/>
    <x v="8"/>
    <x v="8"/>
    <x v="8"/>
  </r>
  <r>
    <x v="5"/>
    <x v="6"/>
    <x v="3"/>
    <x v="5"/>
    <x v="0"/>
    <x v="1"/>
    <x v="9"/>
    <x v="9"/>
    <x v="9"/>
    <x v="9"/>
    <x v="3"/>
    <x v="3"/>
    <x v="9"/>
    <x v="9"/>
    <x v="9"/>
  </r>
  <r>
    <x v="0"/>
    <x v="7"/>
    <x v="6"/>
    <x v="7"/>
    <x v="1"/>
    <x v="3"/>
    <x v="10"/>
    <x v="10"/>
    <x v="10"/>
    <x v="10"/>
    <x v="6"/>
    <x v="6"/>
    <x v="10"/>
    <x v="10"/>
    <x v="10"/>
  </r>
  <r>
    <x v="2"/>
    <x v="8"/>
    <x v="2"/>
    <x v="8"/>
    <x v="1"/>
    <x v="3"/>
    <x v="11"/>
    <x v="11"/>
    <x v="11"/>
    <x v="11"/>
    <x v="2"/>
    <x v="2"/>
    <x v="11"/>
    <x v="11"/>
    <x v="11"/>
  </r>
  <r>
    <x v="0"/>
    <x v="7"/>
    <x v="0"/>
    <x v="9"/>
    <x v="0"/>
    <x v="2"/>
    <x v="12"/>
    <x v="12"/>
    <x v="12"/>
    <x v="12"/>
    <x v="0"/>
    <x v="0"/>
    <x v="12"/>
    <x v="12"/>
    <x v="12"/>
  </r>
  <r>
    <x v="3"/>
    <x v="9"/>
    <x v="6"/>
    <x v="10"/>
    <x v="0"/>
    <x v="0"/>
    <x v="13"/>
    <x v="13"/>
    <x v="13"/>
    <x v="13"/>
    <x v="6"/>
    <x v="6"/>
    <x v="13"/>
    <x v="13"/>
    <x v="13"/>
  </r>
  <r>
    <x v="0"/>
    <x v="7"/>
    <x v="2"/>
    <x v="11"/>
    <x v="1"/>
    <x v="1"/>
    <x v="14"/>
    <x v="14"/>
    <x v="14"/>
    <x v="14"/>
    <x v="2"/>
    <x v="2"/>
    <x v="14"/>
    <x v="14"/>
    <x v="14"/>
  </r>
  <r>
    <x v="5"/>
    <x v="10"/>
    <x v="7"/>
    <x v="4"/>
    <x v="0"/>
    <x v="3"/>
    <x v="15"/>
    <x v="15"/>
    <x v="15"/>
    <x v="15"/>
    <x v="7"/>
    <x v="7"/>
    <x v="15"/>
    <x v="15"/>
    <x v="15"/>
  </r>
  <r>
    <x v="5"/>
    <x v="11"/>
    <x v="2"/>
    <x v="12"/>
    <x v="1"/>
    <x v="1"/>
    <x v="16"/>
    <x v="16"/>
    <x v="16"/>
    <x v="16"/>
    <x v="2"/>
    <x v="2"/>
    <x v="16"/>
    <x v="16"/>
    <x v="16"/>
  </r>
  <r>
    <x v="5"/>
    <x v="10"/>
    <x v="2"/>
    <x v="4"/>
    <x v="1"/>
    <x v="1"/>
    <x v="17"/>
    <x v="17"/>
    <x v="17"/>
    <x v="17"/>
    <x v="2"/>
    <x v="2"/>
    <x v="17"/>
    <x v="17"/>
    <x v="17"/>
  </r>
  <r>
    <x v="5"/>
    <x v="12"/>
    <x v="3"/>
    <x v="1"/>
    <x v="0"/>
    <x v="0"/>
    <x v="18"/>
    <x v="18"/>
    <x v="18"/>
    <x v="18"/>
    <x v="3"/>
    <x v="3"/>
    <x v="18"/>
    <x v="18"/>
    <x v="18"/>
  </r>
  <r>
    <x v="1"/>
    <x v="13"/>
    <x v="6"/>
    <x v="11"/>
    <x v="1"/>
    <x v="2"/>
    <x v="19"/>
    <x v="19"/>
    <x v="19"/>
    <x v="19"/>
    <x v="6"/>
    <x v="6"/>
    <x v="19"/>
    <x v="19"/>
    <x v="19"/>
  </r>
  <r>
    <x v="6"/>
    <x v="14"/>
    <x v="1"/>
    <x v="13"/>
    <x v="1"/>
    <x v="0"/>
    <x v="20"/>
    <x v="20"/>
    <x v="20"/>
    <x v="20"/>
    <x v="1"/>
    <x v="1"/>
    <x v="20"/>
    <x v="20"/>
    <x v="20"/>
  </r>
  <r>
    <x v="5"/>
    <x v="10"/>
    <x v="8"/>
    <x v="9"/>
    <x v="1"/>
    <x v="1"/>
    <x v="21"/>
    <x v="21"/>
    <x v="21"/>
    <x v="21"/>
    <x v="8"/>
    <x v="8"/>
    <x v="21"/>
    <x v="21"/>
    <x v="21"/>
  </r>
  <r>
    <x v="1"/>
    <x v="1"/>
    <x v="2"/>
    <x v="14"/>
    <x v="1"/>
    <x v="3"/>
    <x v="22"/>
    <x v="22"/>
    <x v="22"/>
    <x v="22"/>
    <x v="2"/>
    <x v="2"/>
    <x v="22"/>
    <x v="22"/>
    <x v="22"/>
  </r>
  <r>
    <x v="6"/>
    <x v="15"/>
    <x v="9"/>
    <x v="9"/>
    <x v="1"/>
    <x v="0"/>
    <x v="23"/>
    <x v="23"/>
    <x v="23"/>
    <x v="23"/>
    <x v="9"/>
    <x v="9"/>
    <x v="23"/>
    <x v="23"/>
    <x v="23"/>
  </r>
  <r>
    <x v="6"/>
    <x v="14"/>
    <x v="9"/>
    <x v="3"/>
    <x v="0"/>
    <x v="3"/>
    <x v="24"/>
    <x v="24"/>
    <x v="24"/>
    <x v="24"/>
    <x v="9"/>
    <x v="9"/>
    <x v="24"/>
    <x v="24"/>
    <x v="24"/>
  </r>
  <r>
    <x v="3"/>
    <x v="3"/>
    <x v="6"/>
    <x v="13"/>
    <x v="1"/>
    <x v="3"/>
    <x v="25"/>
    <x v="25"/>
    <x v="25"/>
    <x v="25"/>
    <x v="6"/>
    <x v="6"/>
    <x v="25"/>
    <x v="25"/>
    <x v="25"/>
  </r>
  <r>
    <x v="0"/>
    <x v="16"/>
    <x v="0"/>
    <x v="10"/>
    <x v="0"/>
    <x v="2"/>
    <x v="26"/>
    <x v="26"/>
    <x v="26"/>
    <x v="26"/>
    <x v="0"/>
    <x v="0"/>
    <x v="26"/>
    <x v="26"/>
    <x v="26"/>
  </r>
  <r>
    <x v="2"/>
    <x v="8"/>
    <x v="8"/>
    <x v="3"/>
    <x v="1"/>
    <x v="2"/>
    <x v="27"/>
    <x v="27"/>
    <x v="27"/>
    <x v="27"/>
    <x v="8"/>
    <x v="8"/>
    <x v="27"/>
    <x v="27"/>
    <x v="27"/>
  </r>
  <r>
    <x v="1"/>
    <x v="17"/>
    <x v="8"/>
    <x v="8"/>
    <x v="0"/>
    <x v="3"/>
    <x v="28"/>
    <x v="28"/>
    <x v="28"/>
    <x v="28"/>
    <x v="8"/>
    <x v="8"/>
    <x v="28"/>
    <x v="28"/>
    <x v="28"/>
  </r>
  <r>
    <x v="4"/>
    <x v="18"/>
    <x v="1"/>
    <x v="13"/>
    <x v="0"/>
    <x v="1"/>
    <x v="29"/>
    <x v="29"/>
    <x v="29"/>
    <x v="29"/>
    <x v="1"/>
    <x v="1"/>
    <x v="29"/>
    <x v="29"/>
    <x v="29"/>
  </r>
  <r>
    <x v="3"/>
    <x v="19"/>
    <x v="3"/>
    <x v="1"/>
    <x v="0"/>
    <x v="1"/>
    <x v="30"/>
    <x v="30"/>
    <x v="30"/>
    <x v="30"/>
    <x v="3"/>
    <x v="3"/>
    <x v="30"/>
    <x v="30"/>
    <x v="30"/>
  </r>
  <r>
    <x v="6"/>
    <x v="14"/>
    <x v="4"/>
    <x v="10"/>
    <x v="1"/>
    <x v="1"/>
    <x v="31"/>
    <x v="31"/>
    <x v="31"/>
    <x v="31"/>
    <x v="4"/>
    <x v="4"/>
    <x v="31"/>
    <x v="31"/>
    <x v="31"/>
  </r>
  <r>
    <x v="0"/>
    <x v="7"/>
    <x v="1"/>
    <x v="10"/>
    <x v="1"/>
    <x v="2"/>
    <x v="32"/>
    <x v="32"/>
    <x v="32"/>
    <x v="32"/>
    <x v="1"/>
    <x v="1"/>
    <x v="32"/>
    <x v="32"/>
    <x v="32"/>
  </r>
  <r>
    <x v="4"/>
    <x v="18"/>
    <x v="9"/>
    <x v="14"/>
    <x v="0"/>
    <x v="3"/>
    <x v="33"/>
    <x v="33"/>
    <x v="33"/>
    <x v="33"/>
    <x v="9"/>
    <x v="9"/>
    <x v="33"/>
    <x v="33"/>
    <x v="33"/>
  </r>
  <r>
    <x v="1"/>
    <x v="20"/>
    <x v="1"/>
    <x v="5"/>
    <x v="1"/>
    <x v="1"/>
    <x v="34"/>
    <x v="34"/>
    <x v="34"/>
    <x v="34"/>
    <x v="1"/>
    <x v="1"/>
    <x v="34"/>
    <x v="34"/>
    <x v="34"/>
  </r>
  <r>
    <x v="6"/>
    <x v="14"/>
    <x v="7"/>
    <x v="14"/>
    <x v="0"/>
    <x v="2"/>
    <x v="35"/>
    <x v="35"/>
    <x v="35"/>
    <x v="35"/>
    <x v="7"/>
    <x v="7"/>
    <x v="35"/>
    <x v="35"/>
    <x v="35"/>
  </r>
  <r>
    <x v="6"/>
    <x v="21"/>
    <x v="7"/>
    <x v="1"/>
    <x v="1"/>
    <x v="1"/>
    <x v="36"/>
    <x v="36"/>
    <x v="36"/>
    <x v="36"/>
    <x v="7"/>
    <x v="7"/>
    <x v="36"/>
    <x v="36"/>
    <x v="36"/>
  </r>
  <r>
    <x v="6"/>
    <x v="15"/>
    <x v="5"/>
    <x v="11"/>
    <x v="0"/>
    <x v="0"/>
    <x v="37"/>
    <x v="37"/>
    <x v="37"/>
    <x v="37"/>
    <x v="5"/>
    <x v="5"/>
    <x v="37"/>
    <x v="37"/>
    <x v="37"/>
  </r>
  <r>
    <x v="2"/>
    <x v="8"/>
    <x v="9"/>
    <x v="15"/>
    <x v="0"/>
    <x v="3"/>
    <x v="38"/>
    <x v="38"/>
    <x v="38"/>
    <x v="38"/>
    <x v="9"/>
    <x v="9"/>
    <x v="38"/>
    <x v="38"/>
    <x v="38"/>
  </r>
  <r>
    <x v="6"/>
    <x v="14"/>
    <x v="9"/>
    <x v="3"/>
    <x v="0"/>
    <x v="1"/>
    <x v="39"/>
    <x v="39"/>
    <x v="39"/>
    <x v="39"/>
    <x v="9"/>
    <x v="9"/>
    <x v="39"/>
    <x v="39"/>
    <x v="39"/>
  </r>
  <r>
    <x v="6"/>
    <x v="14"/>
    <x v="2"/>
    <x v="4"/>
    <x v="0"/>
    <x v="2"/>
    <x v="40"/>
    <x v="40"/>
    <x v="40"/>
    <x v="40"/>
    <x v="2"/>
    <x v="2"/>
    <x v="40"/>
    <x v="40"/>
    <x v="40"/>
  </r>
  <r>
    <x v="4"/>
    <x v="18"/>
    <x v="6"/>
    <x v="5"/>
    <x v="1"/>
    <x v="0"/>
    <x v="41"/>
    <x v="41"/>
    <x v="41"/>
    <x v="41"/>
    <x v="6"/>
    <x v="6"/>
    <x v="41"/>
    <x v="41"/>
    <x v="41"/>
  </r>
  <r>
    <x v="3"/>
    <x v="9"/>
    <x v="2"/>
    <x v="16"/>
    <x v="1"/>
    <x v="0"/>
    <x v="42"/>
    <x v="42"/>
    <x v="42"/>
    <x v="42"/>
    <x v="2"/>
    <x v="2"/>
    <x v="42"/>
    <x v="42"/>
    <x v="42"/>
  </r>
  <r>
    <x v="1"/>
    <x v="13"/>
    <x v="0"/>
    <x v="0"/>
    <x v="1"/>
    <x v="2"/>
    <x v="43"/>
    <x v="43"/>
    <x v="43"/>
    <x v="43"/>
    <x v="0"/>
    <x v="0"/>
    <x v="43"/>
    <x v="43"/>
    <x v="43"/>
  </r>
  <r>
    <x v="1"/>
    <x v="1"/>
    <x v="6"/>
    <x v="17"/>
    <x v="1"/>
    <x v="2"/>
    <x v="44"/>
    <x v="44"/>
    <x v="44"/>
    <x v="44"/>
    <x v="6"/>
    <x v="6"/>
    <x v="44"/>
    <x v="44"/>
    <x v="44"/>
  </r>
  <r>
    <x v="0"/>
    <x v="7"/>
    <x v="2"/>
    <x v="9"/>
    <x v="1"/>
    <x v="1"/>
    <x v="45"/>
    <x v="45"/>
    <x v="25"/>
    <x v="45"/>
    <x v="2"/>
    <x v="2"/>
    <x v="45"/>
    <x v="45"/>
    <x v="45"/>
  </r>
  <r>
    <x v="5"/>
    <x v="12"/>
    <x v="1"/>
    <x v="10"/>
    <x v="0"/>
    <x v="0"/>
    <x v="46"/>
    <x v="46"/>
    <x v="45"/>
    <x v="46"/>
    <x v="1"/>
    <x v="1"/>
    <x v="46"/>
    <x v="46"/>
    <x v="46"/>
  </r>
  <r>
    <x v="1"/>
    <x v="13"/>
    <x v="8"/>
    <x v="9"/>
    <x v="1"/>
    <x v="1"/>
    <x v="47"/>
    <x v="47"/>
    <x v="46"/>
    <x v="47"/>
    <x v="8"/>
    <x v="8"/>
    <x v="47"/>
    <x v="47"/>
    <x v="47"/>
  </r>
  <r>
    <x v="3"/>
    <x v="9"/>
    <x v="9"/>
    <x v="18"/>
    <x v="1"/>
    <x v="1"/>
    <x v="48"/>
    <x v="48"/>
    <x v="47"/>
    <x v="48"/>
    <x v="9"/>
    <x v="9"/>
    <x v="48"/>
    <x v="48"/>
    <x v="48"/>
  </r>
  <r>
    <x v="1"/>
    <x v="1"/>
    <x v="1"/>
    <x v="9"/>
    <x v="0"/>
    <x v="0"/>
    <x v="49"/>
    <x v="49"/>
    <x v="48"/>
    <x v="49"/>
    <x v="1"/>
    <x v="1"/>
    <x v="49"/>
    <x v="49"/>
    <x v="49"/>
  </r>
  <r>
    <x v="5"/>
    <x v="11"/>
    <x v="2"/>
    <x v="19"/>
    <x v="1"/>
    <x v="2"/>
    <x v="50"/>
    <x v="50"/>
    <x v="49"/>
    <x v="50"/>
    <x v="2"/>
    <x v="2"/>
    <x v="50"/>
    <x v="50"/>
    <x v="50"/>
  </r>
  <r>
    <x v="0"/>
    <x v="16"/>
    <x v="1"/>
    <x v="13"/>
    <x v="1"/>
    <x v="2"/>
    <x v="51"/>
    <x v="51"/>
    <x v="50"/>
    <x v="51"/>
    <x v="1"/>
    <x v="1"/>
    <x v="51"/>
    <x v="51"/>
    <x v="51"/>
  </r>
  <r>
    <x v="1"/>
    <x v="17"/>
    <x v="7"/>
    <x v="2"/>
    <x v="0"/>
    <x v="1"/>
    <x v="52"/>
    <x v="52"/>
    <x v="51"/>
    <x v="52"/>
    <x v="7"/>
    <x v="7"/>
    <x v="52"/>
    <x v="52"/>
    <x v="52"/>
  </r>
  <r>
    <x v="5"/>
    <x v="12"/>
    <x v="5"/>
    <x v="19"/>
    <x v="1"/>
    <x v="3"/>
    <x v="53"/>
    <x v="53"/>
    <x v="52"/>
    <x v="53"/>
    <x v="5"/>
    <x v="5"/>
    <x v="53"/>
    <x v="53"/>
    <x v="53"/>
  </r>
  <r>
    <x v="1"/>
    <x v="4"/>
    <x v="2"/>
    <x v="15"/>
    <x v="0"/>
    <x v="1"/>
    <x v="54"/>
    <x v="54"/>
    <x v="53"/>
    <x v="54"/>
    <x v="2"/>
    <x v="2"/>
    <x v="54"/>
    <x v="54"/>
    <x v="54"/>
  </r>
  <r>
    <x v="5"/>
    <x v="22"/>
    <x v="7"/>
    <x v="20"/>
    <x v="1"/>
    <x v="1"/>
    <x v="55"/>
    <x v="55"/>
    <x v="54"/>
    <x v="55"/>
    <x v="7"/>
    <x v="7"/>
    <x v="55"/>
    <x v="55"/>
    <x v="55"/>
  </r>
  <r>
    <x v="6"/>
    <x v="15"/>
    <x v="4"/>
    <x v="6"/>
    <x v="0"/>
    <x v="3"/>
    <x v="56"/>
    <x v="56"/>
    <x v="55"/>
    <x v="56"/>
    <x v="4"/>
    <x v="4"/>
    <x v="56"/>
    <x v="56"/>
    <x v="56"/>
  </r>
  <r>
    <x v="1"/>
    <x v="1"/>
    <x v="1"/>
    <x v="12"/>
    <x v="0"/>
    <x v="1"/>
    <x v="57"/>
    <x v="57"/>
    <x v="56"/>
    <x v="57"/>
    <x v="1"/>
    <x v="1"/>
    <x v="57"/>
    <x v="57"/>
    <x v="57"/>
  </r>
  <r>
    <x v="6"/>
    <x v="21"/>
    <x v="6"/>
    <x v="7"/>
    <x v="1"/>
    <x v="2"/>
    <x v="58"/>
    <x v="58"/>
    <x v="57"/>
    <x v="58"/>
    <x v="6"/>
    <x v="6"/>
    <x v="58"/>
    <x v="58"/>
    <x v="58"/>
  </r>
  <r>
    <x v="0"/>
    <x v="16"/>
    <x v="4"/>
    <x v="19"/>
    <x v="1"/>
    <x v="3"/>
    <x v="59"/>
    <x v="59"/>
    <x v="58"/>
    <x v="59"/>
    <x v="4"/>
    <x v="4"/>
    <x v="59"/>
    <x v="59"/>
    <x v="59"/>
  </r>
  <r>
    <x v="6"/>
    <x v="15"/>
    <x v="7"/>
    <x v="20"/>
    <x v="0"/>
    <x v="3"/>
    <x v="60"/>
    <x v="60"/>
    <x v="59"/>
    <x v="60"/>
    <x v="7"/>
    <x v="7"/>
    <x v="60"/>
    <x v="60"/>
    <x v="60"/>
  </r>
  <r>
    <x v="2"/>
    <x v="23"/>
    <x v="8"/>
    <x v="18"/>
    <x v="0"/>
    <x v="0"/>
    <x v="61"/>
    <x v="61"/>
    <x v="60"/>
    <x v="61"/>
    <x v="8"/>
    <x v="8"/>
    <x v="61"/>
    <x v="61"/>
    <x v="61"/>
  </r>
  <r>
    <x v="3"/>
    <x v="3"/>
    <x v="5"/>
    <x v="5"/>
    <x v="1"/>
    <x v="1"/>
    <x v="62"/>
    <x v="62"/>
    <x v="61"/>
    <x v="62"/>
    <x v="5"/>
    <x v="5"/>
    <x v="62"/>
    <x v="62"/>
    <x v="62"/>
  </r>
  <r>
    <x v="4"/>
    <x v="5"/>
    <x v="0"/>
    <x v="11"/>
    <x v="0"/>
    <x v="0"/>
    <x v="63"/>
    <x v="63"/>
    <x v="62"/>
    <x v="63"/>
    <x v="0"/>
    <x v="0"/>
    <x v="63"/>
    <x v="63"/>
    <x v="63"/>
  </r>
  <r>
    <x v="1"/>
    <x v="20"/>
    <x v="6"/>
    <x v="17"/>
    <x v="1"/>
    <x v="1"/>
    <x v="64"/>
    <x v="64"/>
    <x v="63"/>
    <x v="64"/>
    <x v="6"/>
    <x v="6"/>
    <x v="64"/>
    <x v="64"/>
    <x v="64"/>
  </r>
  <r>
    <x v="0"/>
    <x v="0"/>
    <x v="4"/>
    <x v="20"/>
    <x v="1"/>
    <x v="2"/>
    <x v="65"/>
    <x v="65"/>
    <x v="64"/>
    <x v="65"/>
    <x v="4"/>
    <x v="4"/>
    <x v="65"/>
    <x v="65"/>
    <x v="65"/>
  </r>
  <r>
    <x v="2"/>
    <x v="8"/>
    <x v="8"/>
    <x v="1"/>
    <x v="0"/>
    <x v="1"/>
    <x v="66"/>
    <x v="66"/>
    <x v="65"/>
    <x v="66"/>
    <x v="8"/>
    <x v="8"/>
    <x v="66"/>
    <x v="66"/>
    <x v="66"/>
  </r>
  <r>
    <x v="5"/>
    <x v="6"/>
    <x v="0"/>
    <x v="8"/>
    <x v="0"/>
    <x v="1"/>
    <x v="67"/>
    <x v="67"/>
    <x v="66"/>
    <x v="67"/>
    <x v="0"/>
    <x v="0"/>
    <x v="67"/>
    <x v="67"/>
    <x v="67"/>
  </r>
  <r>
    <x v="5"/>
    <x v="22"/>
    <x v="3"/>
    <x v="10"/>
    <x v="1"/>
    <x v="1"/>
    <x v="68"/>
    <x v="68"/>
    <x v="67"/>
    <x v="68"/>
    <x v="3"/>
    <x v="3"/>
    <x v="68"/>
    <x v="68"/>
    <x v="68"/>
  </r>
  <r>
    <x v="0"/>
    <x v="0"/>
    <x v="9"/>
    <x v="0"/>
    <x v="0"/>
    <x v="2"/>
    <x v="69"/>
    <x v="69"/>
    <x v="68"/>
    <x v="69"/>
    <x v="9"/>
    <x v="9"/>
    <x v="69"/>
    <x v="69"/>
    <x v="69"/>
  </r>
  <r>
    <x v="6"/>
    <x v="14"/>
    <x v="1"/>
    <x v="0"/>
    <x v="1"/>
    <x v="0"/>
    <x v="70"/>
    <x v="70"/>
    <x v="69"/>
    <x v="70"/>
    <x v="1"/>
    <x v="1"/>
    <x v="70"/>
    <x v="70"/>
    <x v="70"/>
  </r>
  <r>
    <x v="5"/>
    <x v="11"/>
    <x v="0"/>
    <x v="14"/>
    <x v="1"/>
    <x v="2"/>
    <x v="71"/>
    <x v="71"/>
    <x v="70"/>
    <x v="71"/>
    <x v="0"/>
    <x v="0"/>
    <x v="71"/>
    <x v="71"/>
    <x v="71"/>
  </r>
  <r>
    <x v="2"/>
    <x v="23"/>
    <x v="5"/>
    <x v="9"/>
    <x v="0"/>
    <x v="2"/>
    <x v="72"/>
    <x v="72"/>
    <x v="71"/>
    <x v="72"/>
    <x v="5"/>
    <x v="5"/>
    <x v="72"/>
    <x v="72"/>
    <x v="72"/>
  </r>
  <r>
    <x v="5"/>
    <x v="12"/>
    <x v="6"/>
    <x v="14"/>
    <x v="1"/>
    <x v="3"/>
    <x v="73"/>
    <x v="73"/>
    <x v="72"/>
    <x v="73"/>
    <x v="6"/>
    <x v="6"/>
    <x v="73"/>
    <x v="73"/>
    <x v="73"/>
  </r>
  <r>
    <x v="4"/>
    <x v="18"/>
    <x v="7"/>
    <x v="10"/>
    <x v="1"/>
    <x v="1"/>
    <x v="74"/>
    <x v="74"/>
    <x v="73"/>
    <x v="74"/>
    <x v="7"/>
    <x v="7"/>
    <x v="74"/>
    <x v="74"/>
    <x v="74"/>
  </r>
  <r>
    <x v="0"/>
    <x v="0"/>
    <x v="9"/>
    <x v="7"/>
    <x v="0"/>
    <x v="1"/>
    <x v="75"/>
    <x v="75"/>
    <x v="74"/>
    <x v="75"/>
    <x v="9"/>
    <x v="9"/>
    <x v="75"/>
    <x v="75"/>
    <x v="75"/>
  </r>
  <r>
    <x v="1"/>
    <x v="20"/>
    <x v="1"/>
    <x v="9"/>
    <x v="0"/>
    <x v="1"/>
    <x v="76"/>
    <x v="76"/>
    <x v="75"/>
    <x v="76"/>
    <x v="1"/>
    <x v="1"/>
    <x v="76"/>
    <x v="76"/>
    <x v="76"/>
  </r>
  <r>
    <x v="1"/>
    <x v="24"/>
    <x v="7"/>
    <x v="11"/>
    <x v="1"/>
    <x v="3"/>
    <x v="77"/>
    <x v="77"/>
    <x v="76"/>
    <x v="77"/>
    <x v="7"/>
    <x v="7"/>
    <x v="77"/>
    <x v="77"/>
    <x v="77"/>
  </r>
  <r>
    <x v="4"/>
    <x v="5"/>
    <x v="6"/>
    <x v="12"/>
    <x v="0"/>
    <x v="2"/>
    <x v="78"/>
    <x v="78"/>
    <x v="77"/>
    <x v="78"/>
    <x v="6"/>
    <x v="6"/>
    <x v="78"/>
    <x v="78"/>
    <x v="78"/>
  </r>
  <r>
    <x v="0"/>
    <x v="7"/>
    <x v="2"/>
    <x v="15"/>
    <x v="1"/>
    <x v="0"/>
    <x v="79"/>
    <x v="79"/>
    <x v="78"/>
    <x v="79"/>
    <x v="2"/>
    <x v="2"/>
    <x v="79"/>
    <x v="79"/>
    <x v="79"/>
  </r>
  <r>
    <x v="5"/>
    <x v="12"/>
    <x v="3"/>
    <x v="7"/>
    <x v="1"/>
    <x v="3"/>
    <x v="69"/>
    <x v="80"/>
    <x v="79"/>
    <x v="80"/>
    <x v="3"/>
    <x v="3"/>
    <x v="80"/>
    <x v="80"/>
    <x v="80"/>
  </r>
  <r>
    <x v="3"/>
    <x v="3"/>
    <x v="8"/>
    <x v="14"/>
    <x v="1"/>
    <x v="2"/>
    <x v="80"/>
    <x v="81"/>
    <x v="80"/>
    <x v="81"/>
    <x v="8"/>
    <x v="8"/>
    <x v="81"/>
    <x v="81"/>
    <x v="81"/>
  </r>
  <r>
    <x v="2"/>
    <x v="23"/>
    <x v="6"/>
    <x v="15"/>
    <x v="1"/>
    <x v="1"/>
    <x v="81"/>
    <x v="82"/>
    <x v="81"/>
    <x v="82"/>
    <x v="6"/>
    <x v="6"/>
    <x v="82"/>
    <x v="82"/>
    <x v="82"/>
  </r>
  <r>
    <x v="5"/>
    <x v="10"/>
    <x v="8"/>
    <x v="11"/>
    <x v="0"/>
    <x v="1"/>
    <x v="82"/>
    <x v="83"/>
    <x v="82"/>
    <x v="83"/>
    <x v="8"/>
    <x v="8"/>
    <x v="83"/>
    <x v="83"/>
    <x v="83"/>
  </r>
  <r>
    <x v="6"/>
    <x v="21"/>
    <x v="1"/>
    <x v="13"/>
    <x v="1"/>
    <x v="1"/>
    <x v="83"/>
    <x v="84"/>
    <x v="83"/>
    <x v="84"/>
    <x v="1"/>
    <x v="1"/>
    <x v="84"/>
    <x v="84"/>
    <x v="84"/>
  </r>
  <r>
    <x v="4"/>
    <x v="5"/>
    <x v="6"/>
    <x v="5"/>
    <x v="0"/>
    <x v="3"/>
    <x v="84"/>
    <x v="85"/>
    <x v="84"/>
    <x v="85"/>
    <x v="6"/>
    <x v="6"/>
    <x v="85"/>
    <x v="85"/>
    <x v="85"/>
  </r>
  <r>
    <x v="5"/>
    <x v="6"/>
    <x v="0"/>
    <x v="1"/>
    <x v="1"/>
    <x v="3"/>
    <x v="85"/>
    <x v="86"/>
    <x v="24"/>
    <x v="86"/>
    <x v="0"/>
    <x v="0"/>
    <x v="86"/>
    <x v="86"/>
    <x v="86"/>
  </r>
  <r>
    <x v="3"/>
    <x v="3"/>
    <x v="7"/>
    <x v="9"/>
    <x v="1"/>
    <x v="2"/>
    <x v="86"/>
    <x v="87"/>
    <x v="85"/>
    <x v="87"/>
    <x v="7"/>
    <x v="7"/>
    <x v="87"/>
    <x v="87"/>
    <x v="87"/>
  </r>
  <r>
    <x v="6"/>
    <x v="14"/>
    <x v="3"/>
    <x v="2"/>
    <x v="1"/>
    <x v="0"/>
    <x v="83"/>
    <x v="88"/>
    <x v="86"/>
    <x v="88"/>
    <x v="3"/>
    <x v="3"/>
    <x v="88"/>
    <x v="88"/>
    <x v="88"/>
  </r>
  <r>
    <x v="2"/>
    <x v="2"/>
    <x v="3"/>
    <x v="16"/>
    <x v="0"/>
    <x v="2"/>
    <x v="87"/>
    <x v="89"/>
    <x v="87"/>
    <x v="89"/>
    <x v="3"/>
    <x v="3"/>
    <x v="89"/>
    <x v="89"/>
    <x v="89"/>
  </r>
  <r>
    <x v="5"/>
    <x v="10"/>
    <x v="2"/>
    <x v="18"/>
    <x v="1"/>
    <x v="0"/>
    <x v="88"/>
    <x v="90"/>
    <x v="88"/>
    <x v="90"/>
    <x v="2"/>
    <x v="2"/>
    <x v="90"/>
    <x v="90"/>
    <x v="90"/>
  </r>
  <r>
    <x v="3"/>
    <x v="3"/>
    <x v="8"/>
    <x v="18"/>
    <x v="0"/>
    <x v="3"/>
    <x v="89"/>
    <x v="91"/>
    <x v="89"/>
    <x v="1"/>
    <x v="8"/>
    <x v="8"/>
    <x v="91"/>
    <x v="91"/>
    <x v="91"/>
  </r>
  <r>
    <x v="3"/>
    <x v="3"/>
    <x v="3"/>
    <x v="9"/>
    <x v="1"/>
    <x v="0"/>
    <x v="90"/>
    <x v="92"/>
    <x v="90"/>
    <x v="91"/>
    <x v="3"/>
    <x v="3"/>
    <x v="92"/>
    <x v="92"/>
    <x v="92"/>
  </r>
  <r>
    <x v="4"/>
    <x v="18"/>
    <x v="3"/>
    <x v="7"/>
    <x v="0"/>
    <x v="2"/>
    <x v="91"/>
    <x v="93"/>
    <x v="91"/>
    <x v="92"/>
    <x v="3"/>
    <x v="3"/>
    <x v="93"/>
    <x v="93"/>
    <x v="93"/>
  </r>
  <r>
    <x v="6"/>
    <x v="14"/>
    <x v="5"/>
    <x v="5"/>
    <x v="1"/>
    <x v="3"/>
    <x v="92"/>
    <x v="94"/>
    <x v="92"/>
    <x v="93"/>
    <x v="5"/>
    <x v="5"/>
    <x v="94"/>
    <x v="94"/>
    <x v="94"/>
  </r>
  <r>
    <x v="6"/>
    <x v="15"/>
    <x v="2"/>
    <x v="8"/>
    <x v="0"/>
    <x v="0"/>
    <x v="93"/>
    <x v="95"/>
    <x v="93"/>
    <x v="94"/>
    <x v="2"/>
    <x v="2"/>
    <x v="95"/>
    <x v="95"/>
    <x v="95"/>
  </r>
  <r>
    <x v="3"/>
    <x v="3"/>
    <x v="9"/>
    <x v="9"/>
    <x v="0"/>
    <x v="1"/>
    <x v="94"/>
    <x v="96"/>
    <x v="94"/>
    <x v="95"/>
    <x v="9"/>
    <x v="9"/>
    <x v="96"/>
    <x v="96"/>
    <x v="96"/>
  </r>
  <r>
    <x v="0"/>
    <x v="16"/>
    <x v="0"/>
    <x v="8"/>
    <x v="0"/>
    <x v="3"/>
    <x v="95"/>
    <x v="97"/>
    <x v="95"/>
    <x v="96"/>
    <x v="0"/>
    <x v="0"/>
    <x v="97"/>
    <x v="97"/>
    <x v="97"/>
  </r>
  <r>
    <x v="5"/>
    <x v="10"/>
    <x v="5"/>
    <x v="13"/>
    <x v="1"/>
    <x v="3"/>
    <x v="96"/>
    <x v="98"/>
    <x v="96"/>
    <x v="97"/>
    <x v="5"/>
    <x v="5"/>
    <x v="98"/>
    <x v="98"/>
    <x v="98"/>
  </r>
  <r>
    <x v="6"/>
    <x v="21"/>
    <x v="0"/>
    <x v="14"/>
    <x v="0"/>
    <x v="0"/>
    <x v="97"/>
    <x v="99"/>
    <x v="97"/>
    <x v="98"/>
    <x v="0"/>
    <x v="0"/>
    <x v="99"/>
    <x v="99"/>
    <x v="99"/>
  </r>
  <r>
    <x v="5"/>
    <x v="12"/>
    <x v="9"/>
    <x v="16"/>
    <x v="1"/>
    <x v="3"/>
    <x v="98"/>
    <x v="100"/>
    <x v="98"/>
    <x v="99"/>
    <x v="9"/>
    <x v="9"/>
    <x v="100"/>
    <x v="100"/>
    <x v="100"/>
  </r>
  <r>
    <x v="2"/>
    <x v="23"/>
    <x v="9"/>
    <x v="9"/>
    <x v="1"/>
    <x v="3"/>
    <x v="99"/>
    <x v="101"/>
    <x v="99"/>
    <x v="100"/>
    <x v="9"/>
    <x v="9"/>
    <x v="101"/>
    <x v="101"/>
    <x v="101"/>
  </r>
  <r>
    <x v="2"/>
    <x v="23"/>
    <x v="7"/>
    <x v="11"/>
    <x v="1"/>
    <x v="0"/>
    <x v="100"/>
    <x v="102"/>
    <x v="100"/>
    <x v="101"/>
    <x v="7"/>
    <x v="7"/>
    <x v="102"/>
    <x v="102"/>
    <x v="102"/>
  </r>
  <r>
    <x v="6"/>
    <x v="15"/>
    <x v="7"/>
    <x v="8"/>
    <x v="0"/>
    <x v="1"/>
    <x v="101"/>
    <x v="103"/>
    <x v="101"/>
    <x v="102"/>
    <x v="7"/>
    <x v="7"/>
    <x v="103"/>
    <x v="103"/>
    <x v="103"/>
  </r>
  <r>
    <x v="4"/>
    <x v="5"/>
    <x v="1"/>
    <x v="9"/>
    <x v="1"/>
    <x v="2"/>
    <x v="102"/>
    <x v="104"/>
    <x v="102"/>
    <x v="103"/>
    <x v="1"/>
    <x v="1"/>
    <x v="104"/>
    <x v="104"/>
    <x v="104"/>
  </r>
  <r>
    <x v="3"/>
    <x v="9"/>
    <x v="5"/>
    <x v="2"/>
    <x v="0"/>
    <x v="3"/>
    <x v="103"/>
    <x v="105"/>
    <x v="103"/>
    <x v="104"/>
    <x v="5"/>
    <x v="5"/>
    <x v="105"/>
    <x v="105"/>
    <x v="105"/>
  </r>
  <r>
    <x v="1"/>
    <x v="17"/>
    <x v="3"/>
    <x v="9"/>
    <x v="1"/>
    <x v="2"/>
    <x v="104"/>
    <x v="106"/>
    <x v="104"/>
    <x v="105"/>
    <x v="3"/>
    <x v="3"/>
    <x v="106"/>
    <x v="106"/>
    <x v="106"/>
  </r>
  <r>
    <x v="3"/>
    <x v="19"/>
    <x v="2"/>
    <x v="20"/>
    <x v="0"/>
    <x v="1"/>
    <x v="105"/>
    <x v="107"/>
    <x v="105"/>
    <x v="106"/>
    <x v="2"/>
    <x v="2"/>
    <x v="107"/>
    <x v="107"/>
    <x v="107"/>
  </r>
  <r>
    <x v="4"/>
    <x v="18"/>
    <x v="6"/>
    <x v="14"/>
    <x v="0"/>
    <x v="3"/>
    <x v="106"/>
    <x v="108"/>
    <x v="106"/>
    <x v="107"/>
    <x v="6"/>
    <x v="6"/>
    <x v="108"/>
    <x v="108"/>
    <x v="108"/>
  </r>
  <r>
    <x v="6"/>
    <x v="14"/>
    <x v="8"/>
    <x v="15"/>
    <x v="1"/>
    <x v="1"/>
    <x v="107"/>
    <x v="109"/>
    <x v="107"/>
    <x v="108"/>
    <x v="8"/>
    <x v="8"/>
    <x v="109"/>
    <x v="109"/>
    <x v="109"/>
  </r>
  <r>
    <x v="4"/>
    <x v="5"/>
    <x v="8"/>
    <x v="19"/>
    <x v="1"/>
    <x v="0"/>
    <x v="108"/>
    <x v="110"/>
    <x v="108"/>
    <x v="109"/>
    <x v="8"/>
    <x v="8"/>
    <x v="110"/>
    <x v="110"/>
    <x v="110"/>
  </r>
  <r>
    <x v="6"/>
    <x v="21"/>
    <x v="8"/>
    <x v="20"/>
    <x v="0"/>
    <x v="0"/>
    <x v="109"/>
    <x v="111"/>
    <x v="109"/>
    <x v="110"/>
    <x v="8"/>
    <x v="8"/>
    <x v="111"/>
    <x v="111"/>
    <x v="111"/>
  </r>
  <r>
    <x v="6"/>
    <x v="21"/>
    <x v="4"/>
    <x v="16"/>
    <x v="1"/>
    <x v="0"/>
    <x v="110"/>
    <x v="112"/>
    <x v="110"/>
    <x v="111"/>
    <x v="4"/>
    <x v="4"/>
    <x v="112"/>
    <x v="112"/>
    <x v="112"/>
  </r>
  <r>
    <x v="0"/>
    <x v="7"/>
    <x v="4"/>
    <x v="12"/>
    <x v="1"/>
    <x v="2"/>
    <x v="111"/>
    <x v="113"/>
    <x v="111"/>
    <x v="112"/>
    <x v="4"/>
    <x v="4"/>
    <x v="113"/>
    <x v="113"/>
    <x v="113"/>
  </r>
  <r>
    <x v="5"/>
    <x v="12"/>
    <x v="5"/>
    <x v="19"/>
    <x v="0"/>
    <x v="2"/>
    <x v="112"/>
    <x v="114"/>
    <x v="112"/>
    <x v="113"/>
    <x v="5"/>
    <x v="5"/>
    <x v="114"/>
    <x v="114"/>
    <x v="114"/>
  </r>
  <r>
    <x v="3"/>
    <x v="19"/>
    <x v="2"/>
    <x v="17"/>
    <x v="1"/>
    <x v="0"/>
    <x v="113"/>
    <x v="115"/>
    <x v="113"/>
    <x v="114"/>
    <x v="2"/>
    <x v="2"/>
    <x v="115"/>
    <x v="115"/>
    <x v="115"/>
  </r>
  <r>
    <x v="5"/>
    <x v="11"/>
    <x v="0"/>
    <x v="6"/>
    <x v="0"/>
    <x v="1"/>
    <x v="114"/>
    <x v="116"/>
    <x v="114"/>
    <x v="115"/>
    <x v="0"/>
    <x v="0"/>
    <x v="116"/>
    <x v="116"/>
    <x v="116"/>
  </r>
  <r>
    <x v="5"/>
    <x v="12"/>
    <x v="0"/>
    <x v="9"/>
    <x v="1"/>
    <x v="3"/>
    <x v="115"/>
    <x v="117"/>
    <x v="115"/>
    <x v="116"/>
    <x v="0"/>
    <x v="0"/>
    <x v="117"/>
    <x v="117"/>
    <x v="117"/>
  </r>
  <r>
    <x v="4"/>
    <x v="5"/>
    <x v="0"/>
    <x v="8"/>
    <x v="1"/>
    <x v="3"/>
    <x v="116"/>
    <x v="118"/>
    <x v="116"/>
    <x v="117"/>
    <x v="0"/>
    <x v="0"/>
    <x v="118"/>
    <x v="118"/>
    <x v="118"/>
  </r>
  <r>
    <x v="1"/>
    <x v="4"/>
    <x v="4"/>
    <x v="16"/>
    <x v="0"/>
    <x v="1"/>
    <x v="117"/>
    <x v="119"/>
    <x v="117"/>
    <x v="118"/>
    <x v="4"/>
    <x v="4"/>
    <x v="119"/>
    <x v="119"/>
    <x v="119"/>
  </r>
  <r>
    <x v="0"/>
    <x v="0"/>
    <x v="7"/>
    <x v="8"/>
    <x v="1"/>
    <x v="2"/>
    <x v="118"/>
    <x v="120"/>
    <x v="118"/>
    <x v="119"/>
    <x v="7"/>
    <x v="7"/>
    <x v="120"/>
    <x v="120"/>
    <x v="120"/>
  </r>
  <r>
    <x v="0"/>
    <x v="0"/>
    <x v="2"/>
    <x v="21"/>
    <x v="1"/>
    <x v="0"/>
    <x v="119"/>
    <x v="121"/>
    <x v="119"/>
    <x v="120"/>
    <x v="2"/>
    <x v="2"/>
    <x v="121"/>
    <x v="121"/>
    <x v="121"/>
  </r>
  <r>
    <x v="3"/>
    <x v="3"/>
    <x v="6"/>
    <x v="16"/>
    <x v="1"/>
    <x v="1"/>
    <x v="120"/>
    <x v="122"/>
    <x v="120"/>
    <x v="121"/>
    <x v="6"/>
    <x v="6"/>
    <x v="122"/>
    <x v="122"/>
    <x v="122"/>
  </r>
  <r>
    <x v="6"/>
    <x v="14"/>
    <x v="9"/>
    <x v="6"/>
    <x v="0"/>
    <x v="1"/>
    <x v="121"/>
    <x v="123"/>
    <x v="121"/>
    <x v="122"/>
    <x v="9"/>
    <x v="9"/>
    <x v="123"/>
    <x v="123"/>
    <x v="123"/>
  </r>
  <r>
    <x v="5"/>
    <x v="10"/>
    <x v="9"/>
    <x v="17"/>
    <x v="0"/>
    <x v="3"/>
    <x v="122"/>
    <x v="124"/>
    <x v="122"/>
    <x v="123"/>
    <x v="9"/>
    <x v="9"/>
    <x v="124"/>
    <x v="124"/>
    <x v="124"/>
  </r>
  <r>
    <x v="0"/>
    <x v="7"/>
    <x v="0"/>
    <x v="19"/>
    <x v="1"/>
    <x v="2"/>
    <x v="123"/>
    <x v="125"/>
    <x v="123"/>
    <x v="124"/>
    <x v="0"/>
    <x v="0"/>
    <x v="125"/>
    <x v="125"/>
    <x v="125"/>
  </r>
  <r>
    <x v="1"/>
    <x v="20"/>
    <x v="0"/>
    <x v="19"/>
    <x v="1"/>
    <x v="1"/>
    <x v="124"/>
    <x v="126"/>
    <x v="124"/>
    <x v="125"/>
    <x v="0"/>
    <x v="0"/>
    <x v="126"/>
    <x v="126"/>
    <x v="126"/>
  </r>
  <r>
    <x v="6"/>
    <x v="21"/>
    <x v="9"/>
    <x v="19"/>
    <x v="0"/>
    <x v="2"/>
    <x v="125"/>
    <x v="127"/>
    <x v="125"/>
    <x v="126"/>
    <x v="9"/>
    <x v="9"/>
    <x v="127"/>
    <x v="127"/>
    <x v="127"/>
  </r>
  <r>
    <x v="3"/>
    <x v="19"/>
    <x v="2"/>
    <x v="19"/>
    <x v="1"/>
    <x v="0"/>
    <x v="126"/>
    <x v="128"/>
    <x v="126"/>
    <x v="127"/>
    <x v="2"/>
    <x v="2"/>
    <x v="128"/>
    <x v="128"/>
    <x v="128"/>
  </r>
  <r>
    <x v="1"/>
    <x v="13"/>
    <x v="3"/>
    <x v="1"/>
    <x v="1"/>
    <x v="3"/>
    <x v="127"/>
    <x v="129"/>
    <x v="127"/>
    <x v="128"/>
    <x v="3"/>
    <x v="3"/>
    <x v="129"/>
    <x v="129"/>
    <x v="129"/>
  </r>
  <r>
    <x v="1"/>
    <x v="17"/>
    <x v="6"/>
    <x v="10"/>
    <x v="1"/>
    <x v="3"/>
    <x v="128"/>
    <x v="130"/>
    <x v="128"/>
    <x v="129"/>
    <x v="6"/>
    <x v="6"/>
    <x v="130"/>
    <x v="130"/>
    <x v="130"/>
  </r>
  <r>
    <x v="4"/>
    <x v="18"/>
    <x v="0"/>
    <x v="18"/>
    <x v="0"/>
    <x v="2"/>
    <x v="129"/>
    <x v="131"/>
    <x v="129"/>
    <x v="130"/>
    <x v="0"/>
    <x v="0"/>
    <x v="131"/>
    <x v="131"/>
    <x v="131"/>
  </r>
  <r>
    <x v="4"/>
    <x v="5"/>
    <x v="8"/>
    <x v="3"/>
    <x v="1"/>
    <x v="3"/>
    <x v="130"/>
    <x v="132"/>
    <x v="130"/>
    <x v="131"/>
    <x v="8"/>
    <x v="8"/>
    <x v="132"/>
    <x v="132"/>
    <x v="132"/>
  </r>
  <r>
    <x v="1"/>
    <x v="17"/>
    <x v="4"/>
    <x v="6"/>
    <x v="1"/>
    <x v="1"/>
    <x v="131"/>
    <x v="133"/>
    <x v="131"/>
    <x v="132"/>
    <x v="4"/>
    <x v="4"/>
    <x v="133"/>
    <x v="133"/>
    <x v="133"/>
  </r>
  <r>
    <x v="2"/>
    <x v="8"/>
    <x v="5"/>
    <x v="1"/>
    <x v="0"/>
    <x v="3"/>
    <x v="132"/>
    <x v="134"/>
    <x v="132"/>
    <x v="133"/>
    <x v="5"/>
    <x v="5"/>
    <x v="134"/>
    <x v="134"/>
    <x v="134"/>
  </r>
  <r>
    <x v="4"/>
    <x v="18"/>
    <x v="3"/>
    <x v="15"/>
    <x v="0"/>
    <x v="2"/>
    <x v="133"/>
    <x v="135"/>
    <x v="133"/>
    <x v="134"/>
    <x v="3"/>
    <x v="3"/>
    <x v="135"/>
    <x v="135"/>
    <x v="135"/>
  </r>
  <r>
    <x v="3"/>
    <x v="19"/>
    <x v="8"/>
    <x v="7"/>
    <x v="1"/>
    <x v="3"/>
    <x v="134"/>
    <x v="136"/>
    <x v="134"/>
    <x v="135"/>
    <x v="8"/>
    <x v="8"/>
    <x v="136"/>
    <x v="136"/>
    <x v="136"/>
  </r>
  <r>
    <x v="1"/>
    <x v="13"/>
    <x v="8"/>
    <x v="8"/>
    <x v="1"/>
    <x v="0"/>
    <x v="135"/>
    <x v="137"/>
    <x v="135"/>
    <x v="136"/>
    <x v="8"/>
    <x v="8"/>
    <x v="137"/>
    <x v="137"/>
    <x v="137"/>
  </r>
  <r>
    <x v="1"/>
    <x v="24"/>
    <x v="5"/>
    <x v="9"/>
    <x v="0"/>
    <x v="0"/>
    <x v="136"/>
    <x v="138"/>
    <x v="136"/>
    <x v="137"/>
    <x v="5"/>
    <x v="5"/>
    <x v="138"/>
    <x v="138"/>
    <x v="138"/>
  </r>
  <r>
    <x v="6"/>
    <x v="21"/>
    <x v="5"/>
    <x v="7"/>
    <x v="0"/>
    <x v="1"/>
    <x v="137"/>
    <x v="139"/>
    <x v="137"/>
    <x v="138"/>
    <x v="5"/>
    <x v="5"/>
    <x v="139"/>
    <x v="139"/>
    <x v="139"/>
  </r>
  <r>
    <x v="4"/>
    <x v="5"/>
    <x v="3"/>
    <x v="14"/>
    <x v="0"/>
    <x v="2"/>
    <x v="138"/>
    <x v="140"/>
    <x v="138"/>
    <x v="139"/>
    <x v="3"/>
    <x v="3"/>
    <x v="140"/>
    <x v="140"/>
    <x v="140"/>
  </r>
  <r>
    <x v="1"/>
    <x v="4"/>
    <x v="1"/>
    <x v="0"/>
    <x v="1"/>
    <x v="0"/>
    <x v="139"/>
    <x v="141"/>
    <x v="139"/>
    <x v="140"/>
    <x v="1"/>
    <x v="1"/>
    <x v="141"/>
    <x v="141"/>
    <x v="141"/>
  </r>
  <r>
    <x v="3"/>
    <x v="9"/>
    <x v="6"/>
    <x v="0"/>
    <x v="1"/>
    <x v="3"/>
    <x v="112"/>
    <x v="142"/>
    <x v="140"/>
    <x v="141"/>
    <x v="6"/>
    <x v="6"/>
    <x v="142"/>
    <x v="142"/>
    <x v="142"/>
  </r>
  <r>
    <x v="3"/>
    <x v="9"/>
    <x v="8"/>
    <x v="17"/>
    <x v="0"/>
    <x v="0"/>
    <x v="140"/>
    <x v="143"/>
    <x v="141"/>
    <x v="142"/>
    <x v="8"/>
    <x v="8"/>
    <x v="143"/>
    <x v="143"/>
    <x v="143"/>
  </r>
  <r>
    <x v="6"/>
    <x v="21"/>
    <x v="4"/>
    <x v="5"/>
    <x v="1"/>
    <x v="3"/>
    <x v="141"/>
    <x v="144"/>
    <x v="142"/>
    <x v="143"/>
    <x v="4"/>
    <x v="4"/>
    <x v="144"/>
    <x v="144"/>
    <x v="144"/>
  </r>
  <r>
    <x v="2"/>
    <x v="2"/>
    <x v="2"/>
    <x v="15"/>
    <x v="0"/>
    <x v="1"/>
    <x v="142"/>
    <x v="145"/>
    <x v="143"/>
    <x v="144"/>
    <x v="2"/>
    <x v="2"/>
    <x v="145"/>
    <x v="145"/>
    <x v="145"/>
  </r>
  <r>
    <x v="1"/>
    <x v="17"/>
    <x v="0"/>
    <x v="11"/>
    <x v="0"/>
    <x v="3"/>
    <x v="143"/>
    <x v="146"/>
    <x v="144"/>
    <x v="145"/>
    <x v="0"/>
    <x v="0"/>
    <x v="146"/>
    <x v="146"/>
    <x v="146"/>
  </r>
  <r>
    <x v="3"/>
    <x v="19"/>
    <x v="9"/>
    <x v="15"/>
    <x v="1"/>
    <x v="3"/>
    <x v="20"/>
    <x v="147"/>
    <x v="20"/>
    <x v="146"/>
    <x v="9"/>
    <x v="9"/>
    <x v="147"/>
    <x v="147"/>
    <x v="147"/>
  </r>
  <r>
    <x v="0"/>
    <x v="0"/>
    <x v="0"/>
    <x v="19"/>
    <x v="1"/>
    <x v="3"/>
    <x v="144"/>
    <x v="148"/>
    <x v="145"/>
    <x v="147"/>
    <x v="0"/>
    <x v="0"/>
    <x v="148"/>
    <x v="148"/>
    <x v="148"/>
  </r>
  <r>
    <x v="4"/>
    <x v="18"/>
    <x v="9"/>
    <x v="17"/>
    <x v="0"/>
    <x v="0"/>
    <x v="145"/>
    <x v="149"/>
    <x v="146"/>
    <x v="148"/>
    <x v="9"/>
    <x v="9"/>
    <x v="149"/>
    <x v="149"/>
    <x v="14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0">
  <r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1"/>
    <x v="1"/>
    <x v="1"/>
    <x v="1"/>
    <x v="1"/>
    <x v="0"/>
    <x v="0"/>
    <x v="1"/>
    <x v="1"/>
    <x v="1"/>
  </r>
  <r>
    <x v="2"/>
    <x v="2"/>
    <x v="1"/>
    <x v="2"/>
    <x v="1"/>
    <x v="0"/>
    <x v="2"/>
    <x v="2"/>
    <x v="2"/>
    <x v="2"/>
    <x v="1"/>
    <x v="1"/>
    <x v="2"/>
    <x v="2"/>
    <x v="2"/>
  </r>
  <r>
    <x v="3"/>
    <x v="3"/>
    <x v="2"/>
    <x v="3"/>
    <x v="0"/>
    <x v="0"/>
    <x v="3"/>
    <x v="3"/>
    <x v="3"/>
    <x v="3"/>
    <x v="2"/>
    <x v="2"/>
    <x v="3"/>
    <x v="3"/>
    <x v="3"/>
  </r>
  <r>
    <x v="0"/>
    <x v="0"/>
    <x v="3"/>
    <x v="4"/>
    <x v="1"/>
    <x v="2"/>
    <x v="4"/>
    <x v="4"/>
    <x v="4"/>
    <x v="4"/>
    <x v="3"/>
    <x v="3"/>
    <x v="4"/>
    <x v="4"/>
    <x v="4"/>
  </r>
  <r>
    <x v="1"/>
    <x v="4"/>
    <x v="4"/>
    <x v="5"/>
    <x v="1"/>
    <x v="3"/>
    <x v="5"/>
    <x v="5"/>
    <x v="5"/>
    <x v="5"/>
    <x v="4"/>
    <x v="4"/>
    <x v="5"/>
    <x v="5"/>
    <x v="5"/>
  </r>
  <r>
    <x v="4"/>
    <x v="5"/>
    <x v="4"/>
    <x v="6"/>
    <x v="1"/>
    <x v="2"/>
    <x v="6"/>
    <x v="6"/>
    <x v="6"/>
    <x v="6"/>
    <x v="4"/>
    <x v="4"/>
    <x v="6"/>
    <x v="6"/>
    <x v="6"/>
  </r>
  <r>
    <x v="4"/>
    <x v="5"/>
    <x v="5"/>
    <x v="2"/>
    <x v="1"/>
    <x v="0"/>
    <x v="7"/>
    <x v="7"/>
    <x v="7"/>
    <x v="7"/>
    <x v="5"/>
    <x v="5"/>
    <x v="7"/>
    <x v="7"/>
    <x v="7"/>
  </r>
  <r>
    <x v="0"/>
    <x v="0"/>
    <x v="0"/>
    <x v="0"/>
    <x v="1"/>
    <x v="1"/>
    <x v="8"/>
    <x v="8"/>
    <x v="8"/>
    <x v="8"/>
    <x v="0"/>
    <x v="0"/>
    <x v="8"/>
    <x v="8"/>
    <x v="8"/>
  </r>
  <r>
    <x v="5"/>
    <x v="6"/>
    <x v="3"/>
    <x v="5"/>
    <x v="0"/>
    <x v="1"/>
    <x v="9"/>
    <x v="9"/>
    <x v="9"/>
    <x v="9"/>
    <x v="3"/>
    <x v="3"/>
    <x v="9"/>
    <x v="9"/>
    <x v="9"/>
  </r>
  <r>
    <x v="0"/>
    <x v="7"/>
    <x v="6"/>
    <x v="7"/>
    <x v="1"/>
    <x v="3"/>
    <x v="10"/>
    <x v="10"/>
    <x v="10"/>
    <x v="10"/>
    <x v="6"/>
    <x v="6"/>
    <x v="10"/>
    <x v="10"/>
    <x v="10"/>
  </r>
  <r>
    <x v="2"/>
    <x v="8"/>
    <x v="2"/>
    <x v="8"/>
    <x v="1"/>
    <x v="3"/>
    <x v="11"/>
    <x v="11"/>
    <x v="11"/>
    <x v="11"/>
    <x v="2"/>
    <x v="2"/>
    <x v="11"/>
    <x v="11"/>
    <x v="11"/>
  </r>
  <r>
    <x v="0"/>
    <x v="7"/>
    <x v="0"/>
    <x v="9"/>
    <x v="0"/>
    <x v="2"/>
    <x v="12"/>
    <x v="12"/>
    <x v="12"/>
    <x v="12"/>
    <x v="0"/>
    <x v="0"/>
    <x v="12"/>
    <x v="12"/>
    <x v="12"/>
  </r>
  <r>
    <x v="3"/>
    <x v="9"/>
    <x v="6"/>
    <x v="10"/>
    <x v="0"/>
    <x v="0"/>
    <x v="13"/>
    <x v="13"/>
    <x v="13"/>
    <x v="13"/>
    <x v="6"/>
    <x v="6"/>
    <x v="13"/>
    <x v="13"/>
    <x v="13"/>
  </r>
  <r>
    <x v="0"/>
    <x v="7"/>
    <x v="2"/>
    <x v="11"/>
    <x v="1"/>
    <x v="1"/>
    <x v="14"/>
    <x v="14"/>
    <x v="14"/>
    <x v="14"/>
    <x v="2"/>
    <x v="2"/>
    <x v="14"/>
    <x v="14"/>
    <x v="14"/>
  </r>
  <r>
    <x v="5"/>
    <x v="10"/>
    <x v="7"/>
    <x v="4"/>
    <x v="0"/>
    <x v="3"/>
    <x v="15"/>
    <x v="15"/>
    <x v="15"/>
    <x v="15"/>
    <x v="7"/>
    <x v="7"/>
    <x v="15"/>
    <x v="15"/>
    <x v="15"/>
  </r>
  <r>
    <x v="5"/>
    <x v="11"/>
    <x v="2"/>
    <x v="12"/>
    <x v="1"/>
    <x v="1"/>
    <x v="16"/>
    <x v="16"/>
    <x v="16"/>
    <x v="16"/>
    <x v="2"/>
    <x v="2"/>
    <x v="16"/>
    <x v="16"/>
    <x v="16"/>
  </r>
  <r>
    <x v="5"/>
    <x v="10"/>
    <x v="2"/>
    <x v="4"/>
    <x v="1"/>
    <x v="1"/>
    <x v="17"/>
    <x v="17"/>
    <x v="17"/>
    <x v="17"/>
    <x v="2"/>
    <x v="2"/>
    <x v="17"/>
    <x v="17"/>
    <x v="17"/>
  </r>
  <r>
    <x v="5"/>
    <x v="12"/>
    <x v="3"/>
    <x v="1"/>
    <x v="0"/>
    <x v="0"/>
    <x v="18"/>
    <x v="18"/>
    <x v="18"/>
    <x v="18"/>
    <x v="3"/>
    <x v="3"/>
    <x v="18"/>
    <x v="18"/>
    <x v="18"/>
  </r>
  <r>
    <x v="1"/>
    <x v="13"/>
    <x v="6"/>
    <x v="11"/>
    <x v="1"/>
    <x v="2"/>
    <x v="19"/>
    <x v="19"/>
    <x v="19"/>
    <x v="19"/>
    <x v="6"/>
    <x v="6"/>
    <x v="19"/>
    <x v="19"/>
    <x v="19"/>
  </r>
  <r>
    <x v="6"/>
    <x v="14"/>
    <x v="1"/>
    <x v="13"/>
    <x v="1"/>
    <x v="0"/>
    <x v="20"/>
    <x v="20"/>
    <x v="20"/>
    <x v="20"/>
    <x v="1"/>
    <x v="1"/>
    <x v="20"/>
    <x v="20"/>
    <x v="20"/>
  </r>
  <r>
    <x v="5"/>
    <x v="10"/>
    <x v="8"/>
    <x v="9"/>
    <x v="1"/>
    <x v="1"/>
    <x v="21"/>
    <x v="21"/>
    <x v="21"/>
    <x v="21"/>
    <x v="8"/>
    <x v="8"/>
    <x v="21"/>
    <x v="21"/>
    <x v="21"/>
  </r>
  <r>
    <x v="1"/>
    <x v="1"/>
    <x v="2"/>
    <x v="14"/>
    <x v="1"/>
    <x v="3"/>
    <x v="22"/>
    <x v="22"/>
    <x v="22"/>
    <x v="22"/>
    <x v="2"/>
    <x v="2"/>
    <x v="22"/>
    <x v="22"/>
    <x v="22"/>
  </r>
  <r>
    <x v="6"/>
    <x v="15"/>
    <x v="9"/>
    <x v="9"/>
    <x v="1"/>
    <x v="0"/>
    <x v="23"/>
    <x v="23"/>
    <x v="23"/>
    <x v="23"/>
    <x v="9"/>
    <x v="9"/>
    <x v="23"/>
    <x v="23"/>
    <x v="23"/>
  </r>
  <r>
    <x v="6"/>
    <x v="14"/>
    <x v="9"/>
    <x v="3"/>
    <x v="0"/>
    <x v="3"/>
    <x v="24"/>
    <x v="24"/>
    <x v="24"/>
    <x v="24"/>
    <x v="9"/>
    <x v="9"/>
    <x v="24"/>
    <x v="24"/>
    <x v="24"/>
  </r>
  <r>
    <x v="3"/>
    <x v="3"/>
    <x v="6"/>
    <x v="13"/>
    <x v="1"/>
    <x v="3"/>
    <x v="25"/>
    <x v="25"/>
    <x v="25"/>
    <x v="25"/>
    <x v="6"/>
    <x v="6"/>
    <x v="25"/>
    <x v="25"/>
    <x v="25"/>
  </r>
  <r>
    <x v="0"/>
    <x v="16"/>
    <x v="0"/>
    <x v="10"/>
    <x v="0"/>
    <x v="2"/>
    <x v="26"/>
    <x v="26"/>
    <x v="26"/>
    <x v="26"/>
    <x v="0"/>
    <x v="0"/>
    <x v="26"/>
    <x v="26"/>
    <x v="26"/>
  </r>
  <r>
    <x v="2"/>
    <x v="8"/>
    <x v="8"/>
    <x v="3"/>
    <x v="1"/>
    <x v="2"/>
    <x v="27"/>
    <x v="27"/>
    <x v="27"/>
    <x v="27"/>
    <x v="8"/>
    <x v="8"/>
    <x v="27"/>
    <x v="27"/>
    <x v="27"/>
  </r>
  <r>
    <x v="1"/>
    <x v="17"/>
    <x v="8"/>
    <x v="8"/>
    <x v="0"/>
    <x v="3"/>
    <x v="28"/>
    <x v="28"/>
    <x v="28"/>
    <x v="28"/>
    <x v="8"/>
    <x v="8"/>
    <x v="28"/>
    <x v="28"/>
    <x v="28"/>
  </r>
  <r>
    <x v="4"/>
    <x v="18"/>
    <x v="1"/>
    <x v="13"/>
    <x v="0"/>
    <x v="1"/>
    <x v="29"/>
    <x v="29"/>
    <x v="29"/>
    <x v="29"/>
    <x v="1"/>
    <x v="1"/>
    <x v="29"/>
    <x v="29"/>
    <x v="29"/>
  </r>
  <r>
    <x v="3"/>
    <x v="19"/>
    <x v="3"/>
    <x v="1"/>
    <x v="0"/>
    <x v="1"/>
    <x v="30"/>
    <x v="30"/>
    <x v="30"/>
    <x v="30"/>
    <x v="3"/>
    <x v="3"/>
    <x v="30"/>
    <x v="30"/>
    <x v="30"/>
  </r>
  <r>
    <x v="6"/>
    <x v="14"/>
    <x v="4"/>
    <x v="10"/>
    <x v="1"/>
    <x v="1"/>
    <x v="31"/>
    <x v="31"/>
    <x v="31"/>
    <x v="31"/>
    <x v="4"/>
    <x v="4"/>
    <x v="31"/>
    <x v="31"/>
    <x v="31"/>
  </r>
  <r>
    <x v="0"/>
    <x v="7"/>
    <x v="1"/>
    <x v="10"/>
    <x v="1"/>
    <x v="2"/>
    <x v="32"/>
    <x v="32"/>
    <x v="32"/>
    <x v="32"/>
    <x v="1"/>
    <x v="1"/>
    <x v="32"/>
    <x v="32"/>
    <x v="32"/>
  </r>
  <r>
    <x v="4"/>
    <x v="18"/>
    <x v="9"/>
    <x v="14"/>
    <x v="0"/>
    <x v="3"/>
    <x v="33"/>
    <x v="33"/>
    <x v="33"/>
    <x v="33"/>
    <x v="9"/>
    <x v="9"/>
    <x v="33"/>
    <x v="33"/>
    <x v="33"/>
  </r>
  <r>
    <x v="1"/>
    <x v="20"/>
    <x v="1"/>
    <x v="5"/>
    <x v="1"/>
    <x v="1"/>
    <x v="34"/>
    <x v="34"/>
    <x v="34"/>
    <x v="34"/>
    <x v="1"/>
    <x v="1"/>
    <x v="34"/>
    <x v="34"/>
    <x v="34"/>
  </r>
  <r>
    <x v="6"/>
    <x v="14"/>
    <x v="7"/>
    <x v="14"/>
    <x v="0"/>
    <x v="2"/>
    <x v="35"/>
    <x v="35"/>
    <x v="35"/>
    <x v="35"/>
    <x v="7"/>
    <x v="7"/>
    <x v="35"/>
    <x v="35"/>
    <x v="35"/>
  </r>
  <r>
    <x v="6"/>
    <x v="21"/>
    <x v="7"/>
    <x v="1"/>
    <x v="1"/>
    <x v="1"/>
    <x v="36"/>
    <x v="36"/>
    <x v="36"/>
    <x v="36"/>
    <x v="7"/>
    <x v="7"/>
    <x v="36"/>
    <x v="36"/>
    <x v="36"/>
  </r>
  <r>
    <x v="6"/>
    <x v="15"/>
    <x v="5"/>
    <x v="11"/>
    <x v="0"/>
    <x v="0"/>
    <x v="37"/>
    <x v="37"/>
    <x v="37"/>
    <x v="37"/>
    <x v="5"/>
    <x v="5"/>
    <x v="37"/>
    <x v="37"/>
    <x v="37"/>
  </r>
  <r>
    <x v="2"/>
    <x v="8"/>
    <x v="9"/>
    <x v="15"/>
    <x v="0"/>
    <x v="3"/>
    <x v="38"/>
    <x v="38"/>
    <x v="38"/>
    <x v="38"/>
    <x v="9"/>
    <x v="9"/>
    <x v="38"/>
    <x v="38"/>
    <x v="38"/>
  </r>
  <r>
    <x v="6"/>
    <x v="14"/>
    <x v="9"/>
    <x v="3"/>
    <x v="0"/>
    <x v="1"/>
    <x v="39"/>
    <x v="39"/>
    <x v="39"/>
    <x v="39"/>
    <x v="9"/>
    <x v="9"/>
    <x v="39"/>
    <x v="39"/>
    <x v="39"/>
  </r>
  <r>
    <x v="6"/>
    <x v="14"/>
    <x v="2"/>
    <x v="4"/>
    <x v="0"/>
    <x v="2"/>
    <x v="40"/>
    <x v="40"/>
    <x v="40"/>
    <x v="40"/>
    <x v="2"/>
    <x v="2"/>
    <x v="40"/>
    <x v="40"/>
    <x v="40"/>
  </r>
  <r>
    <x v="4"/>
    <x v="18"/>
    <x v="6"/>
    <x v="5"/>
    <x v="1"/>
    <x v="0"/>
    <x v="41"/>
    <x v="41"/>
    <x v="41"/>
    <x v="41"/>
    <x v="6"/>
    <x v="6"/>
    <x v="41"/>
    <x v="41"/>
    <x v="41"/>
  </r>
  <r>
    <x v="3"/>
    <x v="9"/>
    <x v="2"/>
    <x v="16"/>
    <x v="1"/>
    <x v="0"/>
    <x v="42"/>
    <x v="42"/>
    <x v="42"/>
    <x v="42"/>
    <x v="2"/>
    <x v="2"/>
    <x v="42"/>
    <x v="42"/>
    <x v="42"/>
  </r>
  <r>
    <x v="1"/>
    <x v="13"/>
    <x v="0"/>
    <x v="0"/>
    <x v="1"/>
    <x v="2"/>
    <x v="43"/>
    <x v="43"/>
    <x v="43"/>
    <x v="43"/>
    <x v="0"/>
    <x v="0"/>
    <x v="43"/>
    <x v="43"/>
    <x v="43"/>
  </r>
  <r>
    <x v="1"/>
    <x v="1"/>
    <x v="6"/>
    <x v="17"/>
    <x v="1"/>
    <x v="2"/>
    <x v="44"/>
    <x v="44"/>
    <x v="44"/>
    <x v="44"/>
    <x v="6"/>
    <x v="6"/>
    <x v="44"/>
    <x v="44"/>
    <x v="44"/>
  </r>
  <r>
    <x v="0"/>
    <x v="7"/>
    <x v="2"/>
    <x v="9"/>
    <x v="1"/>
    <x v="1"/>
    <x v="45"/>
    <x v="45"/>
    <x v="25"/>
    <x v="45"/>
    <x v="2"/>
    <x v="2"/>
    <x v="45"/>
    <x v="45"/>
    <x v="45"/>
  </r>
  <r>
    <x v="5"/>
    <x v="12"/>
    <x v="1"/>
    <x v="10"/>
    <x v="0"/>
    <x v="0"/>
    <x v="46"/>
    <x v="46"/>
    <x v="45"/>
    <x v="46"/>
    <x v="1"/>
    <x v="1"/>
    <x v="46"/>
    <x v="46"/>
    <x v="46"/>
  </r>
  <r>
    <x v="1"/>
    <x v="13"/>
    <x v="8"/>
    <x v="9"/>
    <x v="1"/>
    <x v="1"/>
    <x v="47"/>
    <x v="47"/>
    <x v="46"/>
    <x v="47"/>
    <x v="8"/>
    <x v="8"/>
    <x v="47"/>
    <x v="47"/>
    <x v="47"/>
  </r>
  <r>
    <x v="3"/>
    <x v="9"/>
    <x v="9"/>
    <x v="18"/>
    <x v="1"/>
    <x v="1"/>
    <x v="48"/>
    <x v="48"/>
    <x v="47"/>
    <x v="48"/>
    <x v="9"/>
    <x v="9"/>
    <x v="48"/>
    <x v="48"/>
    <x v="48"/>
  </r>
  <r>
    <x v="1"/>
    <x v="1"/>
    <x v="1"/>
    <x v="9"/>
    <x v="0"/>
    <x v="0"/>
    <x v="49"/>
    <x v="49"/>
    <x v="48"/>
    <x v="49"/>
    <x v="1"/>
    <x v="1"/>
    <x v="49"/>
    <x v="49"/>
    <x v="49"/>
  </r>
  <r>
    <x v="5"/>
    <x v="11"/>
    <x v="2"/>
    <x v="19"/>
    <x v="1"/>
    <x v="2"/>
    <x v="50"/>
    <x v="50"/>
    <x v="49"/>
    <x v="50"/>
    <x v="2"/>
    <x v="2"/>
    <x v="50"/>
    <x v="50"/>
    <x v="50"/>
  </r>
  <r>
    <x v="0"/>
    <x v="16"/>
    <x v="1"/>
    <x v="13"/>
    <x v="1"/>
    <x v="2"/>
    <x v="51"/>
    <x v="51"/>
    <x v="50"/>
    <x v="51"/>
    <x v="1"/>
    <x v="1"/>
    <x v="51"/>
    <x v="51"/>
    <x v="51"/>
  </r>
  <r>
    <x v="1"/>
    <x v="17"/>
    <x v="7"/>
    <x v="2"/>
    <x v="0"/>
    <x v="1"/>
    <x v="52"/>
    <x v="52"/>
    <x v="51"/>
    <x v="52"/>
    <x v="7"/>
    <x v="7"/>
    <x v="52"/>
    <x v="52"/>
    <x v="52"/>
  </r>
  <r>
    <x v="5"/>
    <x v="12"/>
    <x v="5"/>
    <x v="19"/>
    <x v="1"/>
    <x v="3"/>
    <x v="53"/>
    <x v="53"/>
    <x v="52"/>
    <x v="53"/>
    <x v="5"/>
    <x v="5"/>
    <x v="53"/>
    <x v="53"/>
    <x v="53"/>
  </r>
  <r>
    <x v="1"/>
    <x v="4"/>
    <x v="2"/>
    <x v="15"/>
    <x v="0"/>
    <x v="1"/>
    <x v="54"/>
    <x v="54"/>
    <x v="53"/>
    <x v="54"/>
    <x v="2"/>
    <x v="2"/>
    <x v="54"/>
    <x v="54"/>
    <x v="54"/>
  </r>
  <r>
    <x v="5"/>
    <x v="22"/>
    <x v="7"/>
    <x v="20"/>
    <x v="1"/>
    <x v="1"/>
    <x v="55"/>
    <x v="55"/>
    <x v="54"/>
    <x v="55"/>
    <x v="7"/>
    <x v="7"/>
    <x v="55"/>
    <x v="55"/>
    <x v="55"/>
  </r>
  <r>
    <x v="6"/>
    <x v="15"/>
    <x v="4"/>
    <x v="6"/>
    <x v="0"/>
    <x v="3"/>
    <x v="56"/>
    <x v="56"/>
    <x v="55"/>
    <x v="56"/>
    <x v="4"/>
    <x v="4"/>
    <x v="56"/>
    <x v="56"/>
    <x v="56"/>
  </r>
  <r>
    <x v="1"/>
    <x v="1"/>
    <x v="1"/>
    <x v="12"/>
    <x v="0"/>
    <x v="1"/>
    <x v="57"/>
    <x v="57"/>
    <x v="56"/>
    <x v="57"/>
    <x v="1"/>
    <x v="1"/>
    <x v="57"/>
    <x v="57"/>
    <x v="57"/>
  </r>
  <r>
    <x v="6"/>
    <x v="21"/>
    <x v="6"/>
    <x v="7"/>
    <x v="1"/>
    <x v="2"/>
    <x v="58"/>
    <x v="58"/>
    <x v="57"/>
    <x v="58"/>
    <x v="6"/>
    <x v="6"/>
    <x v="58"/>
    <x v="58"/>
    <x v="58"/>
  </r>
  <r>
    <x v="0"/>
    <x v="16"/>
    <x v="4"/>
    <x v="19"/>
    <x v="1"/>
    <x v="3"/>
    <x v="59"/>
    <x v="59"/>
    <x v="58"/>
    <x v="59"/>
    <x v="4"/>
    <x v="4"/>
    <x v="59"/>
    <x v="59"/>
    <x v="59"/>
  </r>
  <r>
    <x v="6"/>
    <x v="15"/>
    <x v="7"/>
    <x v="20"/>
    <x v="0"/>
    <x v="3"/>
    <x v="60"/>
    <x v="60"/>
    <x v="59"/>
    <x v="60"/>
    <x v="7"/>
    <x v="7"/>
    <x v="60"/>
    <x v="60"/>
    <x v="60"/>
  </r>
  <r>
    <x v="2"/>
    <x v="23"/>
    <x v="8"/>
    <x v="18"/>
    <x v="0"/>
    <x v="0"/>
    <x v="61"/>
    <x v="61"/>
    <x v="60"/>
    <x v="61"/>
    <x v="8"/>
    <x v="8"/>
    <x v="61"/>
    <x v="61"/>
    <x v="61"/>
  </r>
  <r>
    <x v="3"/>
    <x v="3"/>
    <x v="5"/>
    <x v="5"/>
    <x v="1"/>
    <x v="1"/>
    <x v="62"/>
    <x v="62"/>
    <x v="61"/>
    <x v="62"/>
    <x v="5"/>
    <x v="5"/>
    <x v="62"/>
    <x v="62"/>
    <x v="62"/>
  </r>
  <r>
    <x v="4"/>
    <x v="5"/>
    <x v="0"/>
    <x v="11"/>
    <x v="0"/>
    <x v="0"/>
    <x v="63"/>
    <x v="63"/>
    <x v="62"/>
    <x v="63"/>
    <x v="0"/>
    <x v="0"/>
    <x v="63"/>
    <x v="63"/>
    <x v="63"/>
  </r>
  <r>
    <x v="1"/>
    <x v="20"/>
    <x v="6"/>
    <x v="17"/>
    <x v="1"/>
    <x v="1"/>
    <x v="64"/>
    <x v="64"/>
    <x v="63"/>
    <x v="64"/>
    <x v="6"/>
    <x v="6"/>
    <x v="64"/>
    <x v="64"/>
    <x v="64"/>
  </r>
  <r>
    <x v="0"/>
    <x v="0"/>
    <x v="4"/>
    <x v="20"/>
    <x v="1"/>
    <x v="2"/>
    <x v="65"/>
    <x v="65"/>
    <x v="64"/>
    <x v="65"/>
    <x v="4"/>
    <x v="4"/>
    <x v="65"/>
    <x v="65"/>
    <x v="65"/>
  </r>
  <r>
    <x v="2"/>
    <x v="8"/>
    <x v="8"/>
    <x v="1"/>
    <x v="0"/>
    <x v="1"/>
    <x v="66"/>
    <x v="66"/>
    <x v="65"/>
    <x v="66"/>
    <x v="8"/>
    <x v="8"/>
    <x v="66"/>
    <x v="66"/>
    <x v="66"/>
  </r>
  <r>
    <x v="5"/>
    <x v="6"/>
    <x v="0"/>
    <x v="8"/>
    <x v="0"/>
    <x v="1"/>
    <x v="67"/>
    <x v="67"/>
    <x v="66"/>
    <x v="67"/>
    <x v="0"/>
    <x v="0"/>
    <x v="67"/>
    <x v="67"/>
    <x v="67"/>
  </r>
  <r>
    <x v="5"/>
    <x v="22"/>
    <x v="3"/>
    <x v="10"/>
    <x v="1"/>
    <x v="1"/>
    <x v="68"/>
    <x v="68"/>
    <x v="67"/>
    <x v="68"/>
    <x v="3"/>
    <x v="3"/>
    <x v="68"/>
    <x v="68"/>
    <x v="68"/>
  </r>
  <r>
    <x v="0"/>
    <x v="0"/>
    <x v="9"/>
    <x v="0"/>
    <x v="0"/>
    <x v="2"/>
    <x v="69"/>
    <x v="69"/>
    <x v="68"/>
    <x v="69"/>
    <x v="9"/>
    <x v="9"/>
    <x v="69"/>
    <x v="69"/>
    <x v="69"/>
  </r>
  <r>
    <x v="6"/>
    <x v="14"/>
    <x v="1"/>
    <x v="0"/>
    <x v="1"/>
    <x v="0"/>
    <x v="70"/>
    <x v="70"/>
    <x v="69"/>
    <x v="70"/>
    <x v="1"/>
    <x v="1"/>
    <x v="70"/>
    <x v="70"/>
    <x v="70"/>
  </r>
  <r>
    <x v="5"/>
    <x v="11"/>
    <x v="0"/>
    <x v="14"/>
    <x v="1"/>
    <x v="2"/>
    <x v="71"/>
    <x v="71"/>
    <x v="70"/>
    <x v="71"/>
    <x v="0"/>
    <x v="0"/>
    <x v="71"/>
    <x v="71"/>
    <x v="71"/>
  </r>
  <r>
    <x v="2"/>
    <x v="23"/>
    <x v="5"/>
    <x v="9"/>
    <x v="0"/>
    <x v="2"/>
    <x v="72"/>
    <x v="72"/>
    <x v="71"/>
    <x v="72"/>
    <x v="5"/>
    <x v="5"/>
    <x v="72"/>
    <x v="72"/>
    <x v="72"/>
  </r>
  <r>
    <x v="5"/>
    <x v="12"/>
    <x v="6"/>
    <x v="14"/>
    <x v="1"/>
    <x v="3"/>
    <x v="73"/>
    <x v="73"/>
    <x v="72"/>
    <x v="73"/>
    <x v="6"/>
    <x v="6"/>
    <x v="73"/>
    <x v="73"/>
    <x v="73"/>
  </r>
  <r>
    <x v="4"/>
    <x v="18"/>
    <x v="7"/>
    <x v="10"/>
    <x v="1"/>
    <x v="1"/>
    <x v="74"/>
    <x v="74"/>
    <x v="73"/>
    <x v="74"/>
    <x v="7"/>
    <x v="7"/>
    <x v="74"/>
    <x v="74"/>
    <x v="74"/>
  </r>
  <r>
    <x v="0"/>
    <x v="0"/>
    <x v="9"/>
    <x v="7"/>
    <x v="0"/>
    <x v="1"/>
    <x v="75"/>
    <x v="75"/>
    <x v="74"/>
    <x v="75"/>
    <x v="9"/>
    <x v="9"/>
    <x v="75"/>
    <x v="75"/>
    <x v="75"/>
  </r>
  <r>
    <x v="1"/>
    <x v="20"/>
    <x v="1"/>
    <x v="9"/>
    <x v="0"/>
    <x v="1"/>
    <x v="76"/>
    <x v="76"/>
    <x v="75"/>
    <x v="76"/>
    <x v="1"/>
    <x v="1"/>
    <x v="76"/>
    <x v="76"/>
    <x v="76"/>
  </r>
  <r>
    <x v="1"/>
    <x v="24"/>
    <x v="7"/>
    <x v="11"/>
    <x v="1"/>
    <x v="3"/>
    <x v="77"/>
    <x v="77"/>
    <x v="76"/>
    <x v="77"/>
    <x v="7"/>
    <x v="7"/>
    <x v="77"/>
    <x v="77"/>
    <x v="77"/>
  </r>
  <r>
    <x v="4"/>
    <x v="5"/>
    <x v="6"/>
    <x v="12"/>
    <x v="0"/>
    <x v="2"/>
    <x v="78"/>
    <x v="78"/>
    <x v="77"/>
    <x v="78"/>
    <x v="6"/>
    <x v="6"/>
    <x v="78"/>
    <x v="78"/>
    <x v="78"/>
  </r>
  <r>
    <x v="0"/>
    <x v="7"/>
    <x v="2"/>
    <x v="15"/>
    <x v="1"/>
    <x v="0"/>
    <x v="79"/>
    <x v="79"/>
    <x v="78"/>
    <x v="79"/>
    <x v="2"/>
    <x v="2"/>
    <x v="79"/>
    <x v="79"/>
    <x v="79"/>
  </r>
  <r>
    <x v="5"/>
    <x v="12"/>
    <x v="3"/>
    <x v="7"/>
    <x v="1"/>
    <x v="3"/>
    <x v="69"/>
    <x v="80"/>
    <x v="79"/>
    <x v="80"/>
    <x v="3"/>
    <x v="3"/>
    <x v="80"/>
    <x v="80"/>
    <x v="80"/>
  </r>
  <r>
    <x v="3"/>
    <x v="3"/>
    <x v="8"/>
    <x v="14"/>
    <x v="1"/>
    <x v="2"/>
    <x v="80"/>
    <x v="81"/>
    <x v="80"/>
    <x v="81"/>
    <x v="8"/>
    <x v="8"/>
    <x v="81"/>
    <x v="81"/>
    <x v="81"/>
  </r>
  <r>
    <x v="2"/>
    <x v="23"/>
    <x v="6"/>
    <x v="15"/>
    <x v="1"/>
    <x v="1"/>
    <x v="81"/>
    <x v="82"/>
    <x v="81"/>
    <x v="82"/>
    <x v="6"/>
    <x v="6"/>
    <x v="82"/>
    <x v="82"/>
    <x v="82"/>
  </r>
  <r>
    <x v="5"/>
    <x v="10"/>
    <x v="8"/>
    <x v="11"/>
    <x v="0"/>
    <x v="1"/>
    <x v="82"/>
    <x v="83"/>
    <x v="82"/>
    <x v="83"/>
    <x v="8"/>
    <x v="8"/>
    <x v="83"/>
    <x v="83"/>
    <x v="83"/>
  </r>
  <r>
    <x v="6"/>
    <x v="21"/>
    <x v="1"/>
    <x v="13"/>
    <x v="1"/>
    <x v="1"/>
    <x v="83"/>
    <x v="84"/>
    <x v="83"/>
    <x v="84"/>
    <x v="1"/>
    <x v="1"/>
    <x v="84"/>
    <x v="84"/>
    <x v="84"/>
  </r>
  <r>
    <x v="4"/>
    <x v="5"/>
    <x v="6"/>
    <x v="5"/>
    <x v="0"/>
    <x v="3"/>
    <x v="84"/>
    <x v="85"/>
    <x v="84"/>
    <x v="85"/>
    <x v="6"/>
    <x v="6"/>
    <x v="85"/>
    <x v="85"/>
    <x v="85"/>
  </r>
  <r>
    <x v="5"/>
    <x v="6"/>
    <x v="0"/>
    <x v="1"/>
    <x v="1"/>
    <x v="3"/>
    <x v="85"/>
    <x v="86"/>
    <x v="24"/>
    <x v="86"/>
    <x v="0"/>
    <x v="0"/>
    <x v="86"/>
    <x v="86"/>
    <x v="86"/>
  </r>
  <r>
    <x v="3"/>
    <x v="3"/>
    <x v="7"/>
    <x v="9"/>
    <x v="1"/>
    <x v="2"/>
    <x v="86"/>
    <x v="87"/>
    <x v="85"/>
    <x v="87"/>
    <x v="7"/>
    <x v="7"/>
    <x v="87"/>
    <x v="87"/>
    <x v="87"/>
  </r>
  <r>
    <x v="6"/>
    <x v="14"/>
    <x v="3"/>
    <x v="2"/>
    <x v="1"/>
    <x v="0"/>
    <x v="83"/>
    <x v="88"/>
    <x v="86"/>
    <x v="88"/>
    <x v="3"/>
    <x v="3"/>
    <x v="88"/>
    <x v="88"/>
    <x v="88"/>
  </r>
  <r>
    <x v="2"/>
    <x v="2"/>
    <x v="3"/>
    <x v="16"/>
    <x v="0"/>
    <x v="2"/>
    <x v="87"/>
    <x v="89"/>
    <x v="87"/>
    <x v="89"/>
    <x v="3"/>
    <x v="3"/>
    <x v="89"/>
    <x v="89"/>
    <x v="89"/>
  </r>
  <r>
    <x v="5"/>
    <x v="10"/>
    <x v="2"/>
    <x v="18"/>
    <x v="1"/>
    <x v="0"/>
    <x v="88"/>
    <x v="90"/>
    <x v="88"/>
    <x v="90"/>
    <x v="2"/>
    <x v="2"/>
    <x v="90"/>
    <x v="90"/>
    <x v="90"/>
  </r>
  <r>
    <x v="3"/>
    <x v="3"/>
    <x v="8"/>
    <x v="18"/>
    <x v="0"/>
    <x v="3"/>
    <x v="89"/>
    <x v="91"/>
    <x v="89"/>
    <x v="1"/>
    <x v="8"/>
    <x v="8"/>
    <x v="91"/>
    <x v="91"/>
    <x v="91"/>
  </r>
  <r>
    <x v="3"/>
    <x v="3"/>
    <x v="3"/>
    <x v="9"/>
    <x v="1"/>
    <x v="0"/>
    <x v="90"/>
    <x v="92"/>
    <x v="90"/>
    <x v="91"/>
    <x v="3"/>
    <x v="3"/>
    <x v="92"/>
    <x v="92"/>
    <x v="92"/>
  </r>
  <r>
    <x v="4"/>
    <x v="18"/>
    <x v="3"/>
    <x v="7"/>
    <x v="0"/>
    <x v="2"/>
    <x v="91"/>
    <x v="93"/>
    <x v="91"/>
    <x v="92"/>
    <x v="3"/>
    <x v="3"/>
    <x v="93"/>
    <x v="93"/>
    <x v="93"/>
  </r>
  <r>
    <x v="6"/>
    <x v="14"/>
    <x v="5"/>
    <x v="5"/>
    <x v="1"/>
    <x v="3"/>
    <x v="92"/>
    <x v="94"/>
    <x v="92"/>
    <x v="93"/>
    <x v="5"/>
    <x v="5"/>
    <x v="94"/>
    <x v="94"/>
    <x v="94"/>
  </r>
  <r>
    <x v="6"/>
    <x v="15"/>
    <x v="2"/>
    <x v="8"/>
    <x v="0"/>
    <x v="0"/>
    <x v="93"/>
    <x v="95"/>
    <x v="93"/>
    <x v="94"/>
    <x v="2"/>
    <x v="2"/>
    <x v="95"/>
    <x v="95"/>
    <x v="95"/>
  </r>
  <r>
    <x v="3"/>
    <x v="3"/>
    <x v="9"/>
    <x v="9"/>
    <x v="0"/>
    <x v="1"/>
    <x v="94"/>
    <x v="96"/>
    <x v="94"/>
    <x v="95"/>
    <x v="9"/>
    <x v="9"/>
    <x v="96"/>
    <x v="96"/>
    <x v="96"/>
  </r>
  <r>
    <x v="0"/>
    <x v="16"/>
    <x v="0"/>
    <x v="8"/>
    <x v="0"/>
    <x v="3"/>
    <x v="95"/>
    <x v="97"/>
    <x v="95"/>
    <x v="96"/>
    <x v="0"/>
    <x v="0"/>
    <x v="97"/>
    <x v="97"/>
    <x v="97"/>
  </r>
  <r>
    <x v="5"/>
    <x v="10"/>
    <x v="5"/>
    <x v="13"/>
    <x v="1"/>
    <x v="3"/>
    <x v="96"/>
    <x v="98"/>
    <x v="96"/>
    <x v="97"/>
    <x v="5"/>
    <x v="5"/>
    <x v="98"/>
    <x v="98"/>
    <x v="98"/>
  </r>
  <r>
    <x v="6"/>
    <x v="21"/>
    <x v="0"/>
    <x v="14"/>
    <x v="0"/>
    <x v="0"/>
    <x v="97"/>
    <x v="99"/>
    <x v="97"/>
    <x v="98"/>
    <x v="0"/>
    <x v="0"/>
    <x v="99"/>
    <x v="99"/>
    <x v="99"/>
  </r>
  <r>
    <x v="5"/>
    <x v="12"/>
    <x v="9"/>
    <x v="16"/>
    <x v="1"/>
    <x v="3"/>
    <x v="98"/>
    <x v="100"/>
    <x v="98"/>
    <x v="99"/>
    <x v="9"/>
    <x v="9"/>
    <x v="100"/>
    <x v="100"/>
    <x v="100"/>
  </r>
  <r>
    <x v="2"/>
    <x v="23"/>
    <x v="9"/>
    <x v="9"/>
    <x v="1"/>
    <x v="3"/>
    <x v="99"/>
    <x v="101"/>
    <x v="99"/>
    <x v="100"/>
    <x v="9"/>
    <x v="9"/>
    <x v="101"/>
    <x v="101"/>
    <x v="101"/>
  </r>
  <r>
    <x v="2"/>
    <x v="23"/>
    <x v="7"/>
    <x v="11"/>
    <x v="1"/>
    <x v="0"/>
    <x v="100"/>
    <x v="102"/>
    <x v="100"/>
    <x v="101"/>
    <x v="7"/>
    <x v="7"/>
    <x v="102"/>
    <x v="102"/>
    <x v="102"/>
  </r>
  <r>
    <x v="6"/>
    <x v="15"/>
    <x v="7"/>
    <x v="8"/>
    <x v="0"/>
    <x v="1"/>
    <x v="101"/>
    <x v="103"/>
    <x v="101"/>
    <x v="102"/>
    <x v="7"/>
    <x v="7"/>
    <x v="103"/>
    <x v="103"/>
    <x v="103"/>
  </r>
  <r>
    <x v="4"/>
    <x v="5"/>
    <x v="1"/>
    <x v="9"/>
    <x v="1"/>
    <x v="2"/>
    <x v="102"/>
    <x v="104"/>
    <x v="102"/>
    <x v="103"/>
    <x v="1"/>
    <x v="1"/>
    <x v="104"/>
    <x v="104"/>
    <x v="104"/>
  </r>
  <r>
    <x v="3"/>
    <x v="9"/>
    <x v="5"/>
    <x v="2"/>
    <x v="0"/>
    <x v="3"/>
    <x v="103"/>
    <x v="105"/>
    <x v="103"/>
    <x v="104"/>
    <x v="5"/>
    <x v="5"/>
    <x v="105"/>
    <x v="105"/>
    <x v="105"/>
  </r>
  <r>
    <x v="1"/>
    <x v="17"/>
    <x v="3"/>
    <x v="9"/>
    <x v="1"/>
    <x v="2"/>
    <x v="104"/>
    <x v="106"/>
    <x v="104"/>
    <x v="105"/>
    <x v="3"/>
    <x v="3"/>
    <x v="106"/>
    <x v="106"/>
    <x v="106"/>
  </r>
  <r>
    <x v="3"/>
    <x v="19"/>
    <x v="2"/>
    <x v="20"/>
    <x v="0"/>
    <x v="1"/>
    <x v="105"/>
    <x v="107"/>
    <x v="105"/>
    <x v="106"/>
    <x v="2"/>
    <x v="2"/>
    <x v="107"/>
    <x v="107"/>
    <x v="107"/>
  </r>
  <r>
    <x v="4"/>
    <x v="18"/>
    <x v="6"/>
    <x v="14"/>
    <x v="0"/>
    <x v="3"/>
    <x v="106"/>
    <x v="108"/>
    <x v="106"/>
    <x v="107"/>
    <x v="6"/>
    <x v="6"/>
    <x v="108"/>
    <x v="108"/>
    <x v="108"/>
  </r>
  <r>
    <x v="6"/>
    <x v="14"/>
    <x v="8"/>
    <x v="15"/>
    <x v="1"/>
    <x v="1"/>
    <x v="107"/>
    <x v="109"/>
    <x v="107"/>
    <x v="108"/>
    <x v="8"/>
    <x v="8"/>
    <x v="109"/>
    <x v="109"/>
    <x v="109"/>
  </r>
  <r>
    <x v="4"/>
    <x v="5"/>
    <x v="8"/>
    <x v="19"/>
    <x v="1"/>
    <x v="0"/>
    <x v="108"/>
    <x v="110"/>
    <x v="108"/>
    <x v="109"/>
    <x v="8"/>
    <x v="8"/>
    <x v="110"/>
    <x v="110"/>
    <x v="110"/>
  </r>
  <r>
    <x v="6"/>
    <x v="21"/>
    <x v="8"/>
    <x v="20"/>
    <x v="0"/>
    <x v="0"/>
    <x v="109"/>
    <x v="111"/>
    <x v="109"/>
    <x v="110"/>
    <x v="8"/>
    <x v="8"/>
    <x v="111"/>
    <x v="111"/>
    <x v="111"/>
  </r>
  <r>
    <x v="6"/>
    <x v="21"/>
    <x v="4"/>
    <x v="16"/>
    <x v="1"/>
    <x v="0"/>
    <x v="110"/>
    <x v="112"/>
    <x v="110"/>
    <x v="111"/>
    <x v="4"/>
    <x v="4"/>
    <x v="112"/>
    <x v="112"/>
    <x v="112"/>
  </r>
  <r>
    <x v="0"/>
    <x v="7"/>
    <x v="4"/>
    <x v="12"/>
    <x v="1"/>
    <x v="2"/>
    <x v="111"/>
    <x v="113"/>
    <x v="111"/>
    <x v="112"/>
    <x v="4"/>
    <x v="4"/>
    <x v="113"/>
    <x v="113"/>
    <x v="113"/>
  </r>
  <r>
    <x v="5"/>
    <x v="12"/>
    <x v="5"/>
    <x v="19"/>
    <x v="0"/>
    <x v="2"/>
    <x v="112"/>
    <x v="114"/>
    <x v="112"/>
    <x v="113"/>
    <x v="5"/>
    <x v="5"/>
    <x v="114"/>
    <x v="114"/>
    <x v="114"/>
  </r>
  <r>
    <x v="3"/>
    <x v="19"/>
    <x v="2"/>
    <x v="17"/>
    <x v="1"/>
    <x v="0"/>
    <x v="113"/>
    <x v="115"/>
    <x v="113"/>
    <x v="114"/>
    <x v="2"/>
    <x v="2"/>
    <x v="115"/>
    <x v="115"/>
    <x v="115"/>
  </r>
  <r>
    <x v="5"/>
    <x v="11"/>
    <x v="0"/>
    <x v="6"/>
    <x v="0"/>
    <x v="1"/>
    <x v="114"/>
    <x v="116"/>
    <x v="114"/>
    <x v="115"/>
    <x v="0"/>
    <x v="0"/>
    <x v="116"/>
    <x v="116"/>
    <x v="116"/>
  </r>
  <r>
    <x v="5"/>
    <x v="12"/>
    <x v="0"/>
    <x v="9"/>
    <x v="1"/>
    <x v="3"/>
    <x v="115"/>
    <x v="117"/>
    <x v="115"/>
    <x v="116"/>
    <x v="0"/>
    <x v="0"/>
    <x v="117"/>
    <x v="117"/>
    <x v="117"/>
  </r>
  <r>
    <x v="4"/>
    <x v="5"/>
    <x v="0"/>
    <x v="8"/>
    <x v="1"/>
    <x v="3"/>
    <x v="116"/>
    <x v="118"/>
    <x v="116"/>
    <x v="117"/>
    <x v="0"/>
    <x v="0"/>
    <x v="118"/>
    <x v="118"/>
    <x v="118"/>
  </r>
  <r>
    <x v="1"/>
    <x v="4"/>
    <x v="4"/>
    <x v="16"/>
    <x v="0"/>
    <x v="1"/>
    <x v="117"/>
    <x v="119"/>
    <x v="117"/>
    <x v="118"/>
    <x v="4"/>
    <x v="4"/>
    <x v="119"/>
    <x v="119"/>
    <x v="119"/>
  </r>
  <r>
    <x v="0"/>
    <x v="0"/>
    <x v="7"/>
    <x v="8"/>
    <x v="1"/>
    <x v="2"/>
    <x v="118"/>
    <x v="120"/>
    <x v="118"/>
    <x v="119"/>
    <x v="7"/>
    <x v="7"/>
    <x v="120"/>
    <x v="120"/>
    <x v="120"/>
  </r>
  <r>
    <x v="0"/>
    <x v="0"/>
    <x v="2"/>
    <x v="21"/>
    <x v="1"/>
    <x v="0"/>
    <x v="119"/>
    <x v="121"/>
    <x v="119"/>
    <x v="120"/>
    <x v="2"/>
    <x v="2"/>
    <x v="121"/>
    <x v="121"/>
    <x v="121"/>
  </r>
  <r>
    <x v="3"/>
    <x v="3"/>
    <x v="6"/>
    <x v="16"/>
    <x v="1"/>
    <x v="1"/>
    <x v="120"/>
    <x v="122"/>
    <x v="120"/>
    <x v="121"/>
    <x v="6"/>
    <x v="6"/>
    <x v="122"/>
    <x v="122"/>
    <x v="122"/>
  </r>
  <r>
    <x v="6"/>
    <x v="14"/>
    <x v="9"/>
    <x v="6"/>
    <x v="0"/>
    <x v="1"/>
    <x v="121"/>
    <x v="123"/>
    <x v="121"/>
    <x v="122"/>
    <x v="9"/>
    <x v="9"/>
    <x v="123"/>
    <x v="123"/>
    <x v="123"/>
  </r>
  <r>
    <x v="5"/>
    <x v="10"/>
    <x v="9"/>
    <x v="17"/>
    <x v="0"/>
    <x v="3"/>
    <x v="122"/>
    <x v="124"/>
    <x v="122"/>
    <x v="123"/>
    <x v="9"/>
    <x v="9"/>
    <x v="124"/>
    <x v="124"/>
    <x v="124"/>
  </r>
  <r>
    <x v="0"/>
    <x v="7"/>
    <x v="0"/>
    <x v="19"/>
    <x v="1"/>
    <x v="2"/>
    <x v="123"/>
    <x v="125"/>
    <x v="123"/>
    <x v="124"/>
    <x v="0"/>
    <x v="0"/>
    <x v="125"/>
    <x v="125"/>
    <x v="125"/>
  </r>
  <r>
    <x v="1"/>
    <x v="20"/>
    <x v="0"/>
    <x v="19"/>
    <x v="1"/>
    <x v="1"/>
    <x v="124"/>
    <x v="126"/>
    <x v="124"/>
    <x v="125"/>
    <x v="0"/>
    <x v="0"/>
    <x v="126"/>
    <x v="126"/>
    <x v="126"/>
  </r>
  <r>
    <x v="6"/>
    <x v="21"/>
    <x v="9"/>
    <x v="19"/>
    <x v="0"/>
    <x v="2"/>
    <x v="125"/>
    <x v="127"/>
    <x v="125"/>
    <x v="126"/>
    <x v="9"/>
    <x v="9"/>
    <x v="127"/>
    <x v="127"/>
    <x v="127"/>
  </r>
  <r>
    <x v="3"/>
    <x v="19"/>
    <x v="2"/>
    <x v="19"/>
    <x v="1"/>
    <x v="0"/>
    <x v="126"/>
    <x v="128"/>
    <x v="126"/>
    <x v="127"/>
    <x v="2"/>
    <x v="2"/>
    <x v="128"/>
    <x v="128"/>
    <x v="128"/>
  </r>
  <r>
    <x v="1"/>
    <x v="13"/>
    <x v="3"/>
    <x v="1"/>
    <x v="1"/>
    <x v="3"/>
    <x v="127"/>
    <x v="129"/>
    <x v="127"/>
    <x v="128"/>
    <x v="3"/>
    <x v="3"/>
    <x v="129"/>
    <x v="129"/>
    <x v="129"/>
  </r>
  <r>
    <x v="1"/>
    <x v="17"/>
    <x v="6"/>
    <x v="10"/>
    <x v="1"/>
    <x v="3"/>
    <x v="128"/>
    <x v="130"/>
    <x v="128"/>
    <x v="129"/>
    <x v="6"/>
    <x v="6"/>
    <x v="130"/>
    <x v="130"/>
    <x v="130"/>
  </r>
  <r>
    <x v="4"/>
    <x v="18"/>
    <x v="0"/>
    <x v="18"/>
    <x v="0"/>
    <x v="2"/>
    <x v="129"/>
    <x v="131"/>
    <x v="129"/>
    <x v="130"/>
    <x v="0"/>
    <x v="0"/>
    <x v="131"/>
    <x v="131"/>
    <x v="131"/>
  </r>
  <r>
    <x v="4"/>
    <x v="5"/>
    <x v="8"/>
    <x v="3"/>
    <x v="1"/>
    <x v="3"/>
    <x v="130"/>
    <x v="132"/>
    <x v="130"/>
    <x v="131"/>
    <x v="8"/>
    <x v="8"/>
    <x v="132"/>
    <x v="132"/>
    <x v="132"/>
  </r>
  <r>
    <x v="1"/>
    <x v="17"/>
    <x v="4"/>
    <x v="6"/>
    <x v="1"/>
    <x v="1"/>
    <x v="131"/>
    <x v="133"/>
    <x v="131"/>
    <x v="132"/>
    <x v="4"/>
    <x v="4"/>
    <x v="133"/>
    <x v="133"/>
    <x v="133"/>
  </r>
  <r>
    <x v="2"/>
    <x v="8"/>
    <x v="5"/>
    <x v="1"/>
    <x v="0"/>
    <x v="3"/>
    <x v="132"/>
    <x v="134"/>
    <x v="132"/>
    <x v="133"/>
    <x v="5"/>
    <x v="5"/>
    <x v="134"/>
    <x v="134"/>
    <x v="134"/>
  </r>
  <r>
    <x v="4"/>
    <x v="18"/>
    <x v="3"/>
    <x v="15"/>
    <x v="0"/>
    <x v="2"/>
    <x v="133"/>
    <x v="135"/>
    <x v="133"/>
    <x v="134"/>
    <x v="3"/>
    <x v="3"/>
    <x v="135"/>
    <x v="135"/>
    <x v="135"/>
  </r>
  <r>
    <x v="3"/>
    <x v="19"/>
    <x v="8"/>
    <x v="7"/>
    <x v="1"/>
    <x v="3"/>
    <x v="134"/>
    <x v="136"/>
    <x v="134"/>
    <x v="135"/>
    <x v="8"/>
    <x v="8"/>
    <x v="136"/>
    <x v="136"/>
    <x v="136"/>
  </r>
  <r>
    <x v="1"/>
    <x v="13"/>
    <x v="8"/>
    <x v="8"/>
    <x v="1"/>
    <x v="0"/>
    <x v="135"/>
    <x v="137"/>
    <x v="135"/>
    <x v="136"/>
    <x v="8"/>
    <x v="8"/>
    <x v="137"/>
    <x v="137"/>
    <x v="137"/>
  </r>
  <r>
    <x v="1"/>
    <x v="24"/>
    <x v="5"/>
    <x v="9"/>
    <x v="0"/>
    <x v="0"/>
    <x v="136"/>
    <x v="138"/>
    <x v="136"/>
    <x v="137"/>
    <x v="5"/>
    <x v="5"/>
    <x v="138"/>
    <x v="138"/>
    <x v="138"/>
  </r>
  <r>
    <x v="6"/>
    <x v="21"/>
    <x v="5"/>
    <x v="7"/>
    <x v="0"/>
    <x v="1"/>
    <x v="137"/>
    <x v="139"/>
    <x v="137"/>
    <x v="138"/>
    <x v="5"/>
    <x v="5"/>
    <x v="139"/>
    <x v="139"/>
    <x v="139"/>
  </r>
  <r>
    <x v="4"/>
    <x v="5"/>
    <x v="3"/>
    <x v="14"/>
    <x v="0"/>
    <x v="2"/>
    <x v="138"/>
    <x v="140"/>
    <x v="138"/>
    <x v="139"/>
    <x v="3"/>
    <x v="3"/>
    <x v="140"/>
    <x v="140"/>
    <x v="140"/>
  </r>
  <r>
    <x v="1"/>
    <x v="4"/>
    <x v="1"/>
    <x v="0"/>
    <x v="1"/>
    <x v="0"/>
    <x v="139"/>
    <x v="141"/>
    <x v="139"/>
    <x v="140"/>
    <x v="1"/>
    <x v="1"/>
    <x v="141"/>
    <x v="141"/>
    <x v="141"/>
  </r>
  <r>
    <x v="3"/>
    <x v="9"/>
    <x v="6"/>
    <x v="0"/>
    <x v="1"/>
    <x v="3"/>
    <x v="112"/>
    <x v="142"/>
    <x v="140"/>
    <x v="141"/>
    <x v="6"/>
    <x v="6"/>
    <x v="142"/>
    <x v="142"/>
    <x v="142"/>
  </r>
  <r>
    <x v="3"/>
    <x v="9"/>
    <x v="8"/>
    <x v="17"/>
    <x v="0"/>
    <x v="0"/>
    <x v="140"/>
    <x v="143"/>
    <x v="141"/>
    <x v="142"/>
    <x v="8"/>
    <x v="8"/>
    <x v="143"/>
    <x v="143"/>
    <x v="143"/>
  </r>
  <r>
    <x v="6"/>
    <x v="21"/>
    <x v="4"/>
    <x v="5"/>
    <x v="1"/>
    <x v="3"/>
    <x v="141"/>
    <x v="144"/>
    <x v="142"/>
    <x v="143"/>
    <x v="4"/>
    <x v="4"/>
    <x v="144"/>
    <x v="144"/>
    <x v="144"/>
  </r>
  <r>
    <x v="2"/>
    <x v="2"/>
    <x v="2"/>
    <x v="15"/>
    <x v="0"/>
    <x v="1"/>
    <x v="142"/>
    <x v="145"/>
    <x v="143"/>
    <x v="144"/>
    <x v="2"/>
    <x v="2"/>
    <x v="145"/>
    <x v="145"/>
    <x v="145"/>
  </r>
  <r>
    <x v="1"/>
    <x v="17"/>
    <x v="0"/>
    <x v="11"/>
    <x v="0"/>
    <x v="3"/>
    <x v="143"/>
    <x v="146"/>
    <x v="144"/>
    <x v="145"/>
    <x v="0"/>
    <x v="0"/>
    <x v="146"/>
    <x v="146"/>
    <x v="146"/>
  </r>
  <r>
    <x v="3"/>
    <x v="19"/>
    <x v="9"/>
    <x v="15"/>
    <x v="1"/>
    <x v="3"/>
    <x v="20"/>
    <x v="147"/>
    <x v="20"/>
    <x v="146"/>
    <x v="9"/>
    <x v="9"/>
    <x v="147"/>
    <x v="147"/>
    <x v="147"/>
  </r>
  <r>
    <x v="0"/>
    <x v="0"/>
    <x v="0"/>
    <x v="19"/>
    <x v="1"/>
    <x v="3"/>
    <x v="144"/>
    <x v="148"/>
    <x v="145"/>
    <x v="147"/>
    <x v="0"/>
    <x v="0"/>
    <x v="148"/>
    <x v="148"/>
    <x v="148"/>
  </r>
  <r>
    <x v="4"/>
    <x v="18"/>
    <x v="9"/>
    <x v="17"/>
    <x v="0"/>
    <x v="0"/>
    <x v="145"/>
    <x v="149"/>
    <x v="146"/>
    <x v="148"/>
    <x v="9"/>
    <x v="9"/>
    <x v="149"/>
    <x v="149"/>
    <x v="14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50">
  <r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1"/>
    <x v="1"/>
    <x v="1"/>
    <x v="1"/>
    <x v="1"/>
    <x v="0"/>
    <x v="0"/>
    <x v="1"/>
    <x v="1"/>
    <x v="1"/>
  </r>
  <r>
    <x v="2"/>
    <x v="2"/>
    <x v="1"/>
    <x v="2"/>
    <x v="1"/>
    <x v="0"/>
    <x v="2"/>
    <x v="2"/>
    <x v="2"/>
    <x v="2"/>
    <x v="1"/>
    <x v="1"/>
    <x v="2"/>
    <x v="2"/>
    <x v="2"/>
  </r>
  <r>
    <x v="3"/>
    <x v="3"/>
    <x v="2"/>
    <x v="3"/>
    <x v="0"/>
    <x v="0"/>
    <x v="3"/>
    <x v="3"/>
    <x v="3"/>
    <x v="3"/>
    <x v="2"/>
    <x v="2"/>
    <x v="3"/>
    <x v="3"/>
    <x v="3"/>
  </r>
  <r>
    <x v="0"/>
    <x v="0"/>
    <x v="3"/>
    <x v="4"/>
    <x v="1"/>
    <x v="2"/>
    <x v="4"/>
    <x v="4"/>
    <x v="4"/>
    <x v="4"/>
    <x v="3"/>
    <x v="3"/>
    <x v="4"/>
    <x v="4"/>
    <x v="4"/>
  </r>
  <r>
    <x v="1"/>
    <x v="4"/>
    <x v="4"/>
    <x v="5"/>
    <x v="1"/>
    <x v="3"/>
    <x v="5"/>
    <x v="5"/>
    <x v="5"/>
    <x v="5"/>
    <x v="4"/>
    <x v="4"/>
    <x v="5"/>
    <x v="5"/>
    <x v="5"/>
  </r>
  <r>
    <x v="4"/>
    <x v="5"/>
    <x v="4"/>
    <x v="6"/>
    <x v="1"/>
    <x v="2"/>
    <x v="6"/>
    <x v="6"/>
    <x v="6"/>
    <x v="6"/>
    <x v="4"/>
    <x v="4"/>
    <x v="6"/>
    <x v="6"/>
    <x v="6"/>
  </r>
  <r>
    <x v="4"/>
    <x v="5"/>
    <x v="5"/>
    <x v="2"/>
    <x v="1"/>
    <x v="0"/>
    <x v="7"/>
    <x v="7"/>
    <x v="7"/>
    <x v="7"/>
    <x v="5"/>
    <x v="5"/>
    <x v="7"/>
    <x v="7"/>
    <x v="7"/>
  </r>
  <r>
    <x v="0"/>
    <x v="0"/>
    <x v="0"/>
    <x v="0"/>
    <x v="1"/>
    <x v="1"/>
    <x v="8"/>
    <x v="8"/>
    <x v="8"/>
    <x v="8"/>
    <x v="0"/>
    <x v="0"/>
    <x v="8"/>
    <x v="8"/>
    <x v="8"/>
  </r>
  <r>
    <x v="5"/>
    <x v="6"/>
    <x v="3"/>
    <x v="5"/>
    <x v="0"/>
    <x v="1"/>
    <x v="9"/>
    <x v="9"/>
    <x v="9"/>
    <x v="9"/>
    <x v="3"/>
    <x v="3"/>
    <x v="9"/>
    <x v="9"/>
    <x v="9"/>
  </r>
  <r>
    <x v="0"/>
    <x v="7"/>
    <x v="6"/>
    <x v="7"/>
    <x v="1"/>
    <x v="3"/>
    <x v="10"/>
    <x v="10"/>
    <x v="10"/>
    <x v="10"/>
    <x v="6"/>
    <x v="6"/>
    <x v="10"/>
    <x v="10"/>
    <x v="10"/>
  </r>
  <r>
    <x v="2"/>
    <x v="8"/>
    <x v="2"/>
    <x v="8"/>
    <x v="1"/>
    <x v="3"/>
    <x v="11"/>
    <x v="11"/>
    <x v="11"/>
    <x v="11"/>
    <x v="2"/>
    <x v="2"/>
    <x v="11"/>
    <x v="11"/>
    <x v="11"/>
  </r>
  <r>
    <x v="0"/>
    <x v="7"/>
    <x v="0"/>
    <x v="9"/>
    <x v="0"/>
    <x v="2"/>
    <x v="12"/>
    <x v="12"/>
    <x v="12"/>
    <x v="12"/>
    <x v="0"/>
    <x v="0"/>
    <x v="12"/>
    <x v="12"/>
    <x v="12"/>
  </r>
  <r>
    <x v="3"/>
    <x v="9"/>
    <x v="6"/>
    <x v="10"/>
    <x v="0"/>
    <x v="0"/>
    <x v="13"/>
    <x v="13"/>
    <x v="13"/>
    <x v="13"/>
    <x v="6"/>
    <x v="6"/>
    <x v="13"/>
    <x v="13"/>
    <x v="13"/>
  </r>
  <r>
    <x v="0"/>
    <x v="7"/>
    <x v="2"/>
    <x v="11"/>
    <x v="1"/>
    <x v="1"/>
    <x v="14"/>
    <x v="14"/>
    <x v="14"/>
    <x v="14"/>
    <x v="2"/>
    <x v="2"/>
    <x v="14"/>
    <x v="14"/>
    <x v="14"/>
  </r>
  <r>
    <x v="5"/>
    <x v="10"/>
    <x v="7"/>
    <x v="4"/>
    <x v="0"/>
    <x v="3"/>
    <x v="15"/>
    <x v="15"/>
    <x v="15"/>
    <x v="15"/>
    <x v="7"/>
    <x v="7"/>
    <x v="15"/>
    <x v="15"/>
    <x v="15"/>
  </r>
  <r>
    <x v="5"/>
    <x v="11"/>
    <x v="2"/>
    <x v="12"/>
    <x v="1"/>
    <x v="1"/>
    <x v="16"/>
    <x v="16"/>
    <x v="16"/>
    <x v="16"/>
    <x v="2"/>
    <x v="2"/>
    <x v="16"/>
    <x v="16"/>
    <x v="16"/>
  </r>
  <r>
    <x v="5"/>
    <x v="10"/>
    <x v="2"/>
    <x v="4"/>
    <x v="1"/>
    <x v="1"/>
    <x v="17"/>
    <x v="17"/>
    <x v="17"/>
    <x v="17"/>
    <x v="2"/>
    <x v="2"/>
    <x v="17"/>
    <x v="17"/>
    <x v="17"/>
  </r>
  <r>
    <x v="5"/>
    <x v="12"/>
    <x v="3"/>
    <x v="1"/>
    <x v="0"/>
    <x v="0"/>
    <x v="18"/>
    <x v="18"/>
    <x v="18"/>
    <x v="18"/>
    <x v="3"/>
    <x v="3"/>
    <x v="18"/>
    <x v="18"/>
    <x v="18"/>
  </r>
  <r>
    <x v="1"/>
    <x v="13"/>
    <x v="6"/>
    <x v="11"/>
    <x v="1"/>
    <x v="2"/>
    <x v="19"/>
    <x v="19"/>
    <x v="19"/>
    <x v="19"/>
    <x v="6"/>
    <x v="6"/>
    <x v="19"/>
    <x v="19"/>
    <x v="19"/>
  </r>
  <r>
    <x v="6"/>
    <x v="14"/>
    <x v="1"/>
    <x v="13"/>
    <x v="1"/>
    <x v="0"/>
    <x v="20"/>
    <x v="20"/>
    <x v="20"/>
    <x v="20"/>
    <x v="1"/>
    <x v="1"/>
    <x v="20"/>
    <x v="20"/>
    <x v="20"/>
  </r>
  <r>
    <x v="5"/>
    <x v="10"/>
    <x v="8"/>
    <x v="9"/>
    <x v="1"/>
    <x v="1"/>
    <x v="21"/>
    <x v="21"/>
    <x v="21"/>
    <x v="21"/>
    <x v="8"/>
    <x v="8"/>
    <x v="21"/>
    <x v="21"/>
    <x v="21"/>
  </r>
  <r>
    <x v="1"/>
    <x v="1"/>
    <x v="2"/>
    <x v="14"/>
    <x v="1"/>
    <x v="3"/>
    <x v="22"/>
    <x v="22"/>
    <x v="22"/>
    <x v="22"/>
    <x v="2"/>
    <x v="2"/>
    <x v="22"/>
    <x v="22"/>
    <x v="22"/>
  </r>
  <r>
    <x v="6"/>
    <x v="15"/>
    <x v="9"/>
    <x v="9"/>
    <x v="1"/>
    <x v="0"/>
    <x v="23"/>
    <x v="23"/>
    <x v="23"/>
    <x v="23"/>
    <x v="9"/>
    <x v="9"/>
    <x v="23"/>
    <x v="23"/>
    <x v="23"/>
  </r>
  <r>
    <x v="6"/>
    <x v="14"/>
    <x v="9"/>
    <x v="3"/>
    <x v="0"/>
    <x v="3"/>
    <x v="24"/>
    <x v="24"/>
    <x v="24"/>
    <x v="24"/>
    <x v="9"/>
    <x v="9"/>
    <x v="24"/>
    <x v="24"/>
    <x v="24"/>
  </r>
  <r>
    <x v="3"/>
    <x v="3"/>
    <x v="6"/>
    <x v="13"/>
    <x v="1"/>
    <x v="3"/>
    <x v="25"/>
    <x v="25"/>
    <x v="25"/>
    <x v="25"/>
    <x v="6"/>
    <x v="6"/>
    <x v="25"/>
    <x v="25"/>
    <x v="25"/>
  </r>
  <r>
    <x v="0"/>
    <x v="16"/>
    <x v="0"/>
    <x v="10"/>
    <x v="0"/>
    <x v="2"/>
    <x v="26"/>
    <x v="26"/>
    <x v="26"/>
    <x v="26"/>
    <x v="0"/>
    <x v="0"/>
    <x v="26"/>
    <x v="26"/>
    <x v="26"/>
  </r>
  <r>
    <x v="2"/>
    <x v="8"/>
    <x v="8"/>
    <x v="3"/>
    <x v="1"/>
    <x v="2"/>
    <x v="27"/>
    <x v="27"/>
    <x v="27"/>
    <x v="27"/>
    <x v="8"/>
    <x v="8"/>
    <x v="27"/>
    <x v="27"/>
    <x v="27"/>
  </r>
  <r>
    <x v="1"/>
    <x v="17"/>
    <x v="8"/>
    <x v="8"/>
    <x v="0"/>
    <x v="3"/>
    <x v="28"/>
    <x v="28"/>
    <x v="28"/>
    <x v="28"/>
    <x v="8"/>
    <x v="8"/>
    <x v="28"/>
    <x v="28"/>
    <x v="28"/>
  </r>
  <r>
    <x v="4"/>
    <x v="18"/>
    <x v="1"/>
    <x v="13"/>
    <x v="0"/>
    <x v="1"/>
    <x v="29"/>
    <x v="29"/>
    <x v="29"/>
    <x v="29"/>
    <x v="1"/>
    <x v="1"/>
    <x v="29"/>
    <x v="29"/>
    <x v="29"/>
  </r>
  <r>
    <x v="3"/>
    <x v="19"/>
    <x v="3"/>
    <x v="1"/>
    <x v="0"/>
    <x v="1"/>
    <x v="30"/>
    <x v="30"/>
    <x v="30"/>
    <x v="30"/>
    <x v="3"/>
    <x v="3"/>
    <x v="30"/>
    <x v="30"/>
    <x v="30"/>
  </r>
  <r>
    <x v="6"/>
    <x v="14"/>
    <x v="4"/>
    <x v="10"/>
    <x v="1"/>
    <x v="1"/>
    <x v="31"/>
    <x v="31"/>
    <x v="31"/>
    <x v="31"/>
    <x v="4"/>
    <x v="4"/>
    <x v="31"/>
    <x v="31"/>
    <x v="31"/>
  </r>
  <r>
    <x v="0"/>
    <x v="7"/>
    <x v="1"/>
    <x v="10"/>
    <x v="1"/>
    <x v="2"/>
    <x v="32"/>
    <x v="32"/>
    <x v="32"/>
    <x v="32"/>
    <x v="1"/>
    <x v="1"/>
    <x v="32"/>
    <x v="32"/>
    <x v="32"/>
  </r>
  <r>
    <x v="4"/>
    <x v="18"/>
    <x v="9"/>
    <x v="14"/>
    <x v="0"/>
    <x v="3"/>
    <x v="33"/>
    <x v="33"/>
    <x v="33"/>
    <x v="33"/>
    <x v="9"/>
    <x v="9"/>
    <x v="33"/>
    <x v="33"/>
    <x v="33"/>
  </r>
  <r>
    <x v="1"/>
    <x v="20"/>
    <x v="1"/>
    <x v="5"/>
    <x v="1"/>
    <x v="1"/>
    <x v="34"/>
    <x v="34"/>
    <x v="34"/>
    <x v="34"/>
    <x v="1"/>
    <x v="1"/>
    <x v="34"/>
    <x v="34"/>
    <x v="34"/>
  </r>
  <r>
    <x v="6"/>
    <x v="14"/>
    <x v="7"/>
    <x v="14"/>
    <x v="0"/>
    <x v="2"/>
    <x v="35"/>
    <x v="35"/>
    <x v="35"/>
    <x v="35"/>
    <x v="7"/>
    <x v="7"/>
    <x v="35"/>
    <x v="35"/>
    <x v="35"/>
  </r>
  <r>
    <x v="6"/>
    <x v="21"/>
    <x v="7"/>
    <x v="1"/>
    <x v="1"/>
    <x v="1"/>
    <x v="36"/>
    <x v="36"/>
    <x v="36"/>
    <x v="36"/>
    <x v="7"/>
    <x v="7"/>
    <x v="36"/>
    <x v="36"/>
    <x v="36"/>
  </r>
  <r>
    <x v="6"/>
    <x v="15"/>
    <x v="5"/>
    <x v="11"/>
    <x v="0"/>
    <x v="0"/>
    <x v="37"/>
    <x v="37"/>
    <x v="37"/>
    <x v="37"/>
    <x v="5"/>
    <x v="5"/>
    <x v="37"/>
    <x v="37"/>
    <x v="37"/>
  </r>
  <r>
    <x v="2"/>
    <x v="8"/>
    <x v="9"/>
    <x v="15"/>
    <x v="0"/>
    <x v="3"/>
    <x v="38"/>
    <x v="38"/>
    <x v="38"/>
    <x v="38"/>
    <x v="9"/>
    <x v="9"/>
    <x v="38"/>
    <x v="38"/>
    <x v="38"/>
  </r>
  <r>
    <x v="6"/>
    <x v="14"/>
    <x v="9"/>
    <x v="3"/>
    <x v="0"/>
    <x v="1"/>
    <x v="39"/>
    <x v="39"/>
    <x v="39"/>
    <x v="39"/>
    <x v="9"/>
    <x v="9"/>
    <x v="39"/>
    <x v="39"/>
    <x v="39"/>
  </r>
  <r>
    <x v="6"/>
    <x v="14"/>
    <x v="2"/>
    <x v="4"/>
    <x v="0"/>
    <x v="2"/>
    <x v="40"/>
    <x v="40"/>
    <x v="40"/>
    <x v="40"/>
    <x v="2"/>
    <x v="2"/>
    <x v="40"/>
    <x v="40"/>
    <x v="40"/>
  </r>
  <r>
    <x v="4"/>
    <x v="18"/>
    <x v="6"/>
    <x v="5"/>
    <x v="1"/>
    <x v="0"/>
    <x v="41"/>
    <x v="41"/>
    <x v="41"/>
    <x v="41"/>
    <x v="6"/>
    <x v="6"/>
    <x v="41"/>
    <x v="41"/>
    <x v="41"/>
  </r>
  <r>
    <x v="3"/>
    <x v="9"/>
    <x v="2"/>
    <x v="16"/>
    <x v="1"/>
    <x v="0"/>
    <x v="42"/>
    <x v="42"/>
    <x v="42"/>
    <x v="42"/>
    <x v="2"/>
    <x v="2"/>
    <x v="42"/>
    <x v="42"/>
    <x v="42"/>
  </r>
  <r>
    <x v="1"/>
    <x v="13"/>
    <x v="0"/>
    <x v="0"/>
    <x v="1"/>
    <x v="2"/>
    <x v="43"/>
    <x v="43"/>
    <x v="43"/>
    <x v="43"/>
    <x v="0"/>
    <x v="0"/>
    <x v="43"/>
    <x v="43"/>
    <x v="43"/>
  </r>
  <r>
    <x v="1"/>
    <x v="1"/>
    <x v="6"/>
    <x v="17"/>
    <x v="1"/>
    <x v="2"/>
    <x v="44"/>
    <x v="44"/>
    <x v="44"/>
    <x v="44"/>
    <x v="6"/>
    <x v="6"/>
    <x v="44"/>
    <x v="44"/>
    <x v="44"/>
  </r>
  <r>
    <x v="0"/>
    <x v="7"/>
    <x v="2"/>
    <x v="9"/>
    <x v="1"/>
    <x v="1"/>
    <x v="45"/>
    <x v="45"/>
    <x v="25"/>
    <x v="45"/>
    <x v="2"/>
    <x v="2"/>
    <x v="45"/>
    <x v="45"/>
    <x v="45"/>
  </r>
  <r>
    <x v="5"/>
    <x v="12"/>
    <x v="1"/>
    <x v="10"/>
    <x v="0"/>
    <x v="0"/>
    <x v="46"/>
    <x v="46"/>
    <x v="45"/>
    <x v="46"/>
    <x v="1"/>
    <x v="1"/>
    <x v="46"/>
    <x v="46"/>
    <x v="46"/>
  </r>
  <r>
    <x v="1"/>
    <x v="13"/>
    <x v="8"/>
    <x v="9"/>
    <x v="1"/>
    <x v="1"/>
    <x v="47"/>
    <x v="47"/>
    <x v="46"/>
    <x v="47"/>
    <x v="8"/>
    <x v="8"/>
    <x v="47"/>
    <x v="47"/>
    <x v="47"/>
  </r>
  <r>
    <x v="3"/>
    <x v="9"/>
    <x v="9"/>
    <x v="18"/>
    <x v="1"/>
    <x v="1"/>
    <x v="48"/>
    <x v="48"/>
    <x v="47"/>
    <x v="48"/>
    <x v="9"/>
    <x v="9"/>
    <x v="48"/>
    <x v="48"/>
    <x v="48"/>
  </r>
  <r>
    <x v="1"/>
    <x v="1"/>
    <x v="1"/>
    <x v="9"/>
    <x v="0"/>
    <x v="0"/>
    <x v="49"/>
    <x v="49"/>
    <x v="48"/>
    <x v="49"/>
    <x v="1"/>
    <x v="1"/>
    <x v="49"/>
    <x v="49"/>
    <x v="49"/>
  </r>
  <r>
    <x v="5"/>
    <x v="11"/>
    <x v="2"/>
    <x v="19"/>
    <x v="1"/>
    <x v="2"/>
    <x v="50"/>
    <x v="50"/>
    <x v="49"/>
    <x v="50"/>
    <x v="2"/>
    <x v="2"/>
    <x v="50"/>
    <x v="50"/>
    <x v="50"/>
  </r>
  <r>
    <x v="0"/>
    <x v="16"/>
    <x v="1"/>
    <x v="13"/>
    <x v="1"/>
    <x v="2"/>
    <x v="51"/>
    <x v="51"/>
    <x v="50"/>
    <x v="51"/>
    <x v="1"/>
    <x v="1"/>
    <x v="51"/>
    <x v="51"/>
    <x v="51"/>
  </r>
  <r>
    <x v="1"/>
    <x v="17"/>
    <x v="7"/>
    <x v="2"/>
    <x v="0"/>
    <x v="1"/>
    <x v="52"/>
    <x v="52"/>
    <x v="51"/>
    <x v="52"/>
    <x v="7"/>
    <x v="7"/>
    <x v="52"/>
    <x v="52"/>
    <x v="52"/>
  </r>
  <r>
    <x v="5"/>
    <x v="12"/>
    <x v="5"/>
    <x v="19"/>
    <x v="1"/>
    <x v="3"/>
    <x v="53"/>
    <x v="53"/>
    <x v="52"/>
    <x v="53"/>
    <x v="5"/>
    <x v="5"/>
    <x v="53"/>
    <x v="53"/>
    <x v="53"/>
  </r>
  <r>
    <x v="1"/>
    <x v="4"/>
    <x v="2"/>
    <x v="15"/>
    <x v="0"/>
    <x v="1"/>
    <x v="54"/>
    <x v="54"/>
    <x v="53"/>
    <x v="54"/>
    <x v="2"/>
    <x v="2"/>
    <x v="54"/>
    <x v="54"/>
    <x v="54"/>
  </r>
  <r>
    <x v="5"/>
    <x v="22"/>
    <x v="7"/>
    <x v="20"/>
    <x v="1"/>
    <x v="1"/>
    <x v="55"/>
    <x v="55"/>
    <x v="54"/>
    <x v="55"/>
    <x v="7"/>
    <x v="7"/>
    <x v="55"/>
    <x v="55"/>
    <x v="55"/>
  </r>
  <r>
    <x v="6"/>
    <x v="15"/>
    <x v="4"/>
    <x v="6"/>
    <x v="0"/>
    <x v="3"/>
    <x v="56"/>
    <x v="56"/>
    <x v="55"/>
    <x v="56"/>
    <x v="4"/>
    <x v="4"/>
    <x v="56"/>
    <x v="56"/>
    <x v="56"/>
  </r>
  <r>
    <x v="1"/>
    <x v="1"/>
    <x v="1"/>
    <x v="12"/>
    <x v="0"/>
    <x v="1"/>
    <x v="57"/>
    <x v="57"/>
    <x v="56"/>
    <x v="57"/>
    <x v="1"/>
    <x v="1"/>
    <x v="57"/>
    <x v="57"/>
    <x v="57"/>
  </r>
  <r>
    <x v="6"/>
    <x v="21"/>
    <x v="6"/>
    <x v="7"/>
    <x v="1"/>
    <x v="2"/>
    <x v="58"/>
    <x v="58"/>
    <x v="57"/>
    <x v="58"/>
    <x v="6"/>
    <x v="6"/>
    <x v="58"/>
    <x v="58"/>
    <x v="58"/>
  </r>
  <r>
    <x v="0"/>
    <x v="16"/>
    <x v="4"/>
    <x v="19"/>
    <x v="1"/>
    <x v="3"/>
    <x v="59"/>
    <x v="59"/>
    <x v="58"/>
    <x v="59"/>
    <x v="4"/>
    <x v="4"/>
    <x v="59"/>
    <x v="59"/>
    <x v="59"/>
  </r>
  <r>
    <x v="6"/>
    <x v="15"/>
    <x v="7"/>
    <x v="20"/>
    <x v="0"/>
    <x v="3"/>
    <x v="60"/>
    <x v="60"/>
    <x v="59"/>
    <x v="60"/>
    <x v="7"/>
    <x v="7"/>
    <x v="60"/>
    <x v="60"/>
    <x v="60"/>
  </r>
  <r>
    <x v="2"/>
    <x v="23"/>
    <x v="8"/>
    <x v="18"/>
    <x v="0"/>
    <x v="0"/>
    <x v="61"/>
    <x v="61"/>
    <x v="60"/>
    <x v="61"/>
    <x v="8"/>
    <x v="8"/>
    <x v="61"/>
    <x v="61"/>
    <x v="61"/>
  </r>
  <r>
    <x v="3"/>
    <x v="3"/>
    <x v="5"/>
    <x v="5"/>
    <x v="1"/>
    <x v="1"/>
    <x v="62"/>
    <x v="62"/>
    <x v="61"/>
    <x v="62"/>
    <x v="5"/>
    <x v="5"/>
    <x v="62"/>
    <x v="62"/>
    <x v="62"/>
  </r>
  <r>
    <x v="4"/>
    <x v="5"/>
    <x v="0"/>
    <x v="11"/>
    <x v="0"/>
    <x v="0"/>
    <x v="63"/>
    <x v="63"/>
    <x v="62"/>
    <x v="63"/>
    <x v="0"/>
    <x v="0"/>
    <x v="63"/>
    <x v="63"/>
    <x v="63"/>
  </r>
  <r>
    <x v="1"/>
    <x v="20"/>
    <x v="6"/>
    <x v="17"/>
    <x v="1"/>
    <x v="1"/>
    <x v="64"/>
    <x v="64"/>
    <x v="63"/>
    <x v="64"/>
    <x v="6"/>
    <x v="6"/>
    <x v="64"/>
    <x v="64"/>
    <x v="64"/>
  </r>
  <r>
    <x v="0"/>
    <x v="0"/>
    <x v="4"/>
    <x v="20"/>
    <x v="1"/>
    <x v="2"/>
    <x v="65"/>
    <x v="65"/>
    <x v="64"/>
    <x v="65"/>
    <x v="4"/>
    <x v="4"/>
    <x v="65"/>
    <x v="65"/>
    <x v="65"/>
  </r>
  <r>
    <x v="2"/>
    <x v="8"/>
    <x v="8"/>
    <x v="1"/>
    <x v="0"/>
    <x v="1"/>
    <x v="66"/>
    <x v="66"/>
    <x v="65"/>
    <x v="66"/>
    <x v="8"/>
    <x v="8"/>
    <x v="66"/>
    <x v="66"/>
    <x v="66"/>
  </r>
  <r>
    <x v="5"/>
    <x v="6"/>
    <x v="0"/>
    <x v="8"/>
    <x v="0"/>
    <x v="1"/>
    <x v="67"/>
    <x v="67"/>
    <x v="66"/>
    <x v="67"/>
    <x v="0"/>
    <x v="0"/>
    <x v="67"/>
    <x v="67"/>
    <x v="67"/>
  </r>
  <r>
    <x v="5"/>
    <x v="22"/>
    <x v="3"/>
    <x v="10"/>
    <x v="1"/>
    <x v="1"/>
    <x v="68"/>
    <x v="68"/>
    <x v="67"/>
    <x v="68"/>
    <x v="3"/>
    <x v="3"/>
    <x v="68"/>
    <x v="68"/>
    <x v="68"/>
  </r>
  <r>
    <x v="0"/>
    <x v="0"/>
    <x v="9"/>
    <x v="0"/>
    <x v="0"/>
    <x v="2"/>
    <x v="69"/>
    <x v="69"/>
    <x v="68"/>
    <x v="69"/>
    <x v="9"/>
    <x v="9"/>
    <x v="69"/>
    <x v="69"/>
    <x v="69"/>
  </r>
  <r>
    <x v="6"/>
    <x v="14"/>
    <x v="1"/>
    <x v="0"/>
    <x v="1"/>
    <x v="0"/>
    <x v="70"/>
    <x v="70"/>
    <x v="69"/>
    <x v="70"/>
    <x v="1"/>
    <x v="1"/>
    <x v="70"/>
    <x v="70"/>
    <x v="70"/>
  </r>
  <r>
    <x v="5"/>
    <x v="11"/>
    <x v="0"/>
    <x v="14"/>
    <x v="1"/>
    <x v="2"/>
    <x v="71"/>
    <x v="71"/>
    <x v="70"/>
    <x v="71"/>
    <x v="0"/>
    <x v="0"/>
    <x v="71"/>
    <x v="71"/>
    <x v="71"/>
  </r>
  <r>
    <x v="2"/>
    <x v="23"/>
    <x v="5"/>
    <x v="9"/>
    <x v="0"/>
    <x v="2"/>
    <x v="72"/>
    <x v="72"/>
    <x v="71"/>
    <x v="72"/>
    <x v="5"/>
    <x v="5"/>
    <x v="72"/>
    <x v="72"/>
    <x v="72"/>
  </r>
  <r>
    <x v="5"/>
    <x v="12"/>
    <x v="6"/>
    <x v="14"/>
    <x v="1"/>
    <x v="3"/>
    <x v="73"/>
    <x v="73"/>
    <x v="72"/>
    <x v="73"/>
    <x v="6"/>
    <x v="6"/>
    <x v="73"/>
    <x v="73"/>
    <x v="73"/>
  </r>
  <r>
    <x v="4"/>
    <x v="18"/>
    <x v="7"/>
    <x v="10"/>
    <x v="1"/>
    <x v="1"/>
    <x v="74"/>
    <x v="74"/>
    <x v="73"/>
    <x v="74"/>
    <x v="7"/>
    <x v="7"/>
    <x v="74"/>
    <x v="74"/>
    <x v="74"/>
  </r>
  <r>
    <x v="0"/>
    <x v="0"/>
    <x v="9"/>
    <x v="7"/>
    <x v="0"/>
    <x v="1"/>
    <x v="75"/>
    <x v="75"/>
    <x v="74"/>
    <x v="75"/>
    <x v="9"/>
    <x v="9"/>
    <x v="75"/>
    <x v="75"/>
    <x v="75"/>
  </r>
  <r>
    <x v="1"/>
    <x v="20"/>
    <x v="1"/>
    <x v="9"/>
    <x v="0"/>
    <x v="1"/>
    <x v="76"/>
    <x v="76"/>
    <x v="75"/>
    <x v="76"/>
    <x v="1"/>
    <x v="1"/>
    <x v="76"/>
    <x v="76"/>
    <x v="76"/>
  </r>
  <r>
    <x v="1"/>
    <x v="24"/>
    <x v="7"/>
    <x v="11"/>
    <x v="1"/>
    <x v="3"/>
    <x v="77"/>
    <x v="77"/>
    <x v="76"/>
    <x v="77"/>
    <x v="7"/>
    <x v="7"/>
    <x v="77"/>
    <x v="77"/>
    <x v="77"/>
  </r>
  <r>
    <x v="4"/>
    <x v="5"/>
    <x v="6"/>
    <x v="12"/>
    <x v="0"/>
    <x v="2"/>
    <x v="78"/>
    <x v="78"/>
    <x v="77"/>
    <x v="78"/>
    <x v="6"/>
    <x v="6"/>
    <x v="78"/>
    <x v="78"/>
    <x v="78"/>
  </r>
  <r>
    <x v="0"/>
    <x v="7"/>
    <x v="2"/>
    <x v="15"/>
    <x v="1"/>
    <x v="0"/>
    <x v="79"/>
    <x v="79"/>
    <x v="78"/>
    <x v="79"/>
    <x v="2"/>
    <x v="2"/>
    <x v="79"/>
    <x v="79"/>
    <x v="79"/>
  </r>
  <r>
    <x v="5"/>
    <x v="12"/>
    <x v="3"/>
    <x v="7"/>
    <x v="1"/>
    <x v="3"/>
    <x v="69"/>
    <x v="80"/>
    <x v="79"/>
    <x v="80"/>
    <x v="3"/>
    <x v="3"/>
    <x v="80"/>
    <x v="80"/>
    <x v="80"/>
  </r>
  <r>
    <x v="3"/>
    <x v="3"/>
    <x v="8"/>
    <x v="14"/>
    <x v="1"/>
    <x v="2"/>
    <x v="80"/>
    <x v="81"/>
    <x v="80"/>
    <x v="81"/>
    <x v="8"/>
    <x v="8"/>
    <x v="81"/>
    <x v="81"/>
    <x v="81"/>
  </r>
  <r>
    <x v="2"/>
    <x v="23"/>
    <x v="6"/>
    <x v="15"/>
    <x v="1"/>
    <x v="1"/>
    <x v="81"/>
    <x v="82"/>
    <x v="81"/>
    <x v="82"/>
    <x v="6"/>
    <x v="6"/>
    <x v="82"/>
    <x v="82"/>
    <x v="82"/>
  </r>
  <r>
    <x v="5"/>
    <x v="10"/>
    <x v="8"/>
    <x v="11"/>
    <x v="0"/>
    <x v="1"/>
    <x v="82"/>
    <x v="83"/>
    <x v="82"/>
    <x v="83"/>
    <x v="8"/>
    <x v="8"/>
    <x v="83"/>
    <x v="83"/>
    <x v="83"/>
  </r>
  <r>
    <x v="6"/>
    <x v="21"/>
    <x v="1"/>
    <x v="13"/>
    <x v="1"/>
    <x v="1"/>
    <x v="83"/>
    <x v="84"/>
    <x v="83"/>
    <x v="84"/>
    <x v="1"/>
    <x v="1"/>
    <x v="84"/>
    <x v="84"/>
    <x v="84"/>
  </r>
  <r>
    <x v="4"/>
    <x v="5"/>
    <x v="6"/>
    <x v="5"/>
    <x v="0"/>
    <x v="3"/>
    <x v="84"/>
    <x v="85"/>
    <x v="84"/>
    <x v="85"/>
    <x v="6"/>
    <x v="6"/>
    <x v="85"/>
    <x v="85"/>
    <x v="85"/>
  </r>
  <r>
    <x v="5"/>
    <x v="6"/>
    <x v="0"/>
    <x v="1"/>
    <x v="1"/>
    <x v="3"/>
    <x v="85"/>
    <x v="86"/>
    <x v="24"/>
    <x v="86"/>
    <x v="0"/>
    <x v="0"/>
    <x v="86"/>
    <x v="86"/>
    <x v="86"/>
  </r>
  <r>
    <x v="3"/>
    <x v="3"/>
    <x v="7"/>
    <x v="9"/>
    <x v="1"/>
    <x v="2"/>
    <x v="86"/>
    <x v="87"/>
    <x v="85"/>
    <x v="87"/>
    <x v="7"/>
    <x v="7"/>
    <x v="87"/>
    <x v="87"/>
    <x v="87"/>
  </r>
  <r>
    <x v="6"/>
    <x v="14"/>
    <x v="3"/>
    <x v="2"/>
    <x v="1"/>
    <x v="0"/>
    <x v="83"/>
    <x v="88"/>
    <x v="86"/>
    <x v="88"/>
    <x v="3"/>
    <x v="3"/>
    <x v="88"/>
    <x v="88"/>
    <x v="88"/>
  </r>
  <r>
    <x v="2"/>
    <x v="2"/>
    <x v="3"/>
    <x v="16"/>
    <x v="0"/>
    <x v="2"/>
    <x v="87"/>
    <x v="89"/>
    <x v="87"/>
    <x v="89"/>
    <x v="3"/>
    <x v="3"/>
    <x v="89"/>
    <x v="89"/>
    <x v="89"/>
  </r>
  <r>
    <x v="5"/>
    <x v="10"/>
    <x v="2"/>
    <x v="18"/>
    <x v="1"/>
    <x v="0"/>
    <x v="88"/>
    <x v="90"/>
    <x v="88"/>
    <x v="90"/>
    <x v="2"/>
    <x v="2"/>
    <x v="90"/>
    <x v="90"/>
    <x v="90"/>
  </r>
  <r>
    <x v="3"/>
    <x v="3"/>
    <x v="8"/>
    <x v="18"/>
    <x v="0"/>
    <x v="3"/>
    <x v="89"/>
    <x v="91"/>
    <x v="89"/>
    <x v="1"/>
    <x v="8"/>
    <x v="8"/>
    <x v="91"/>
    <x v="91"/>
    <x v="91"/>
  </r>
  <r>
    <x v="3"/>
    <x v="3"/>
    <x v="3"/>
    <x v="9"/>
    <x v="1"/>
    <x v="0"/>
    <x v="90"/>
    <x v="92"/>
    <x v="90"/>
    <x v="91"/>
    <x v="3"/>
    <x v="3"/>
    <x v="92"/>
    <x v="92"/>
    <x v="92"/>
  </r>
  <r>
    <x v="4"/>
    <x v="18"/>
    <x v="3"/>
    <x v="7"/>
    <x v="0"/>
    <x v="2"/>
    <x v="91"/>
    <x v="93"/>
    <x v="91"/>
    <x v="92"/>
    <x v="3"/>
    <x v="3"/>
    <x v="93"/>
    <x v="93"/>
    <x v="93"/>
  </r>
  <r>
    <x v="6"/>
    <x v="14"/>
    <x v="5"/>
    <x v="5"/>
    <x v="1"/>
    <x v="3"/>
    <x v="92"/>
    <x v="94"/>
    <x v="92"/>
    <x v="93"/>
    <x v="5"/>
    <x v="5"/>
    <x v="94"/>
    <x v="94"/>
    <x v="94"/>
  </r>
  <r>
    <x v="6"/>
    <x v="15"/>
    <x v="2"/>
    <x v="8"/>
    <x v="0"/>
    <x v="0"/>
    <x v="93"/>
    <x v="95"/>
    <x v="93"/>
    <x v="94"/>
    <x v="2"/>
    <x v="2"/>
    <x v="95"/>
    <x v="95"/>
    <x v="95"/>
  </r>
  <r>
    <x v="3"/>
    <x v="3"/>
    <x v="9"/>
    <x v="9"/>
    <x v="0"/>
    <x v="1"/>
    <x v="94"/>
    <x v="96"/>
    <x v="94"/>
    <x v="95"/>
    <x v="9"/>
    <x v="9"/>
    <x v="96"/>
    <x v="96"/>
    <x v="96"/>
  </r>
  <r>
    <x v="0"/>
    <x v="16"/>
    <x v="0"/>
    <x v="8"/>
    <x v="0"/>
    <x v="3"/>
    <x v="95"/>
    <x v="97"/>
    <x v="95"/>
    <x v="96"/>
    <x v="0"/>
    <x v="0"/>
    <x v="97"/>
    <x v="97"/>
    <x v="97"/>
  </r>
  <r>
    <x v="5"/>
    <x v="10"/>
    <x v="5"/>
    <x v="13"/>
    <x v="1"/>
    <x v="3"/>
    <x v="96"/>
    <x v="98"/>
    <x v="96"/>
    <x v="97"/>
    <x v="5"/>
    <x v="5"/>
    <x v="98"/>
    <x v="98"/>
    <x v="98"/>
  </r>
  <r>
    <x v="6"/>
    <x v="21"/>
    <x v="0"/>
    <x v="14"/>
    <x v="0"/>
    <x v="0"/>
    <x v="97"/>
    <x v="99"/>
    <x v="97"/>
    <x v="98"/>
    <x v="0"/>
    <x v="0"/>
    <x v="99"/>
    <x v="99"/>
    <x v="99"/>
  </r>
  <r>
    <x v="5"/>
    <x v="12"/>
    <x v="9"/>
    <x v="16"/>
    <x v="1"/>
    <x v="3"/>
    <x v="98"/>
    <x v="100"/>
    <x v="98"/>
    <x v="99"/>
    <x v="9"/>
    <x v="9"/>
    <x v="100"/>
    <x v="100"/>
    <x v="100"/>
  </r>
  <r>
    <x v="2"/>
    <x v="23"/>
    <x v="9"/>
    <x v="9"/>
    <x v="1"/>
    <x v="3"/>
    <x v="99"/>
    <x v="101"/>
    <x v="99"/>
    <x v="100"/>
    <x v="9"/>
    <x v="9"/>
    <x v="101"/>
    <x v="101"/>
    <x v="101"/>
  </r>
  <r>
    <x v="2"/>
    <x v="23"/>
    <x v="7"/>
    <x v="11"/>
    <x v="1"/>
    <x v="0"/>
    <x v="100"/>
    <x v="102"/>
    <x v="100"/>
    <x v="101"/>
    <x v="7"/>
    <x v="7"/>
    <x v="102"/>
    <x v="102"/>
    <x v="102"/>
  </r>
  <r>
    <x v="6"/>
    <x v="15"/>
    <x v="7"/>
    <x v="8"/>
    <x v="0"/>
    <x v="1"/>
    <x v="101"/>
    <x v="103"/>
    <x v="101"/>
    <x v="102"/>
    <x v="7"/>
    <x v="7"/>
    <x v="103"/>
    <x v="103"/>
    <x v="103"/>
  </r>
  <r>
    <x v="4"/>
    <x v="5"/>
    <x v="1"/>
    <x v="9"/>
    <x v="1"/>
    <x v="2"/>
    <x v="102"/>
    <x v="104"/>
    <x v="102"/>
    <x v="103"/>
    <x v="1"/>
    <x v="1"/>
    <x v="104"/>
    <x v="104"/>
    <x v="104"/>
  </r>
  <r>
    <x v="3"/>
    <x v="9"/>
    <x v="5"/>
    <x v="2"/>
    <x v="0"/>
    <x v="3"/>
    <x v="103"/>
    <x v="105"/>
    <x v="103"/>
    <x v="104"/>
    <x v="5"/>
    <x v="5"/>
    <x v="105"/>
    <x v="105"/>
    <x v="105"/>
  </r>
  <r>
    <x v="1"/>
    <x v="17"/>
    <x v="3"/>
    <x v="9"/>
    <x v="1"/>
    <x v="2"/>
    <x v="104"/>
    <x v="106"/>
    <x v="104"/>
    <x v="105"/>
    <x v="3"/>
    <x v="3"/>
    <x v="106"/>
    <x v="106"/>
    <x v="106"/>
  </r>
  <r>
    <x v="3"/>
    <x v="19"/>
    <x v="2"/>
    <x v="20"/>
    <x v="0"/>
    <x v="1"/>
    <x v="105"/>
    <x v="107"/>
    <x v="105"/>
    <x v="106"/>
    <x v="2"/>
    <x v="2"/>
    <x v="107"/>
    <x v="107"/>
    <x v="107"/>
  </r>
  <r>
    <x v="4"/>
    <x v="18"/>
    <x v="6"/>
    <x v="14"/>
    <x v="0"/>
    <x v="3"/>
    <x v="106"/>
    <x v="108"/>
    <x v="106"/>
    <x v="107"/>
    <x v="6"/>
    <x v="6"/>
    <x v="108"/>
    <x v="108"/>
    <x v="108"/>
  </r>
  <r>
    <x v="6"/>
    <x v="14"/>
    <x v="8"/>
    <x v="15"/>
    <x v="1"/>
    <x v="1"/>
    <x v="107"/>
    <x v="109"/>
    <x v="107"/>
    <x v="108"/>
    <x v="8"/>
    <x v="8"/>
    <x v="109"/>
    <x v="109"/>
    <x v="109"/>
  </r>
  <r>
    <x v="4"/>
    <x v="5"/>
    <x v="8"/>
    <x v="19"/>
    <x v="1"/>
    <x v="0"/>
    <x v="108"/>
    <x v="110"/>
    <x v="108"/>
    <x v="109"/>
    <x v="8"/>
    <x v="8"/>
    <x v="110"/>
    <x v="110"/>
    <x v="110"/>
  </r>
  <r>
    <x v="6"/>
    <x v="21"/>
    <x v="8"/>
    <x v="20"/>
    <x v="0"/>
    <x v="0"/>
    <x v="109"/>
    <x v="111"/>
    <x v="109"/>
    <x v="110"/>
    <x v="8"/>
    <x v="8"/>
    <x v="111"/>
    <x v="111"/>
    <x v="111"/>
  </r>
  <r>
    <x v="6"/>
    <x v="21"/>
    <x v="4"/>
    <x v="16"/>
    <x v="1"/>
    <x v="0"/>
    <x v="110"/>
    <x v="112"/>
    <x v="110"/>
    <x v="111"/>
    <x v="4"/>
    <x v="4"/>
    <x v="112"/>
    <x v="112"/>
    <x v="112"/>
  </r>
  <r>
    <x v="0"/>
    <x v="7"/>
    <x v="4"/>
    <x v="12"/>
    <x v="1"/>
    <x v="2"/>
    <x v="111"/>
    <x v="113"/>
    <x v="111"/>
    <x v="112"/>
    <x v="4"/>
    <x v="4"/>
    <x v="113"/>
    <x v="113"/>
    <x v="113"/>
  </r>
  <r>
    <x v="5"/>
    <x v="12"/>
    <x v="5"/>
    <x v="19"/>
    <x v="0"/>
    <x v="2"/>
    <x v="112"/>
    <x v="114"/>
    <x v="112"/>
    <x v="113"/>
    <x v="5"/>
    <x v="5"/>
    <x v="114"/>
    <x v="114"/>
    <x v="114"/>
  </r>
  <r>
    <x v="3"/>
    <x v="19"/>
    <x v="2"/>
    <x v="17"/>
    <x v="1"/>
    <x v="0"/>
    <x v="113"/>
    <x v="115"/>
    <x v="113"/>
    <x v="114"/>
    <x v="2"/>
    <x v="2"/>
    <x v="115"/>
    <x v="115"/>
    <x v="115"/>
  </r>
  <r>
    <x v="5"/>
    <x v="11"/>
    <x v="0"/>
    <x v="6"/>
    <x v="0"/>
    <x v="1"/>
    <x v="114"/>
    <x v="116"/>
    <x v="114"/>
    <x v="115"/>
    <x v="0"/>
    <x v="0"/>
    <x v="116"/>
    <x v="116"/>
    <x v="116"/>
  </r>
  <r>
    <x v="5"/>
    <x v="12"/>
    <x v="0"/>
    <x v="9"/>
    <x v="1"/>
    <x v="3"/>
    <x v="115"/>
    <x v="117"/>
    <x v="115"/>
    <x v="116"/>
    <x v="0"/>
    <x v="0"/>
    <x v="117"/>
    <x v="117"/>
    <x v="117"/>
  </r>
  <r>
    <x v="4"/>
    <x v="5"/>
    <x v="0"/>
    <x v="8"/>
    <x v="1"/>
    <x v="3"/>
    <x v="116"/>
    <x v="118"/>
    <x v="116"/>
    <x v="117"/>
    <x v="0"/>
    <x v="0"/>
    <x v="118"/>
    <x v="118"/>
    <x v="118"/>
  </r>
  <r>
    <x v="1"/>
    <x v="4"/>
    <x v="4"/>
    <x v="16"/>
    <x v="0"/>
    <x v="1"/>
    <x v="117"/>
    <x v="119"/>
    <x v="117"/>
    <x v="118"/>
    <x v="4"/>
    <x v="4"/>
    <x v="119"/>
    <x v="119"/>
    <x v="119"/>
  </r>
  <r>
    <x v="0"/>
    <x v="0"/>
    <x v="7"/>
    <x v="8"/>
    <x v="1"/>
    <x v="2"/>
    <x v="118"/>
    <x v="120"/>
    <x v="118"/>
    <x v="119"/>
    <x v="7"/>
    <x v="7"/>
    <x v="120"/>
    <x v="120"/>
    <x v="120"/>
  </r>
  <r>
    <x v="0"/>
    <x v="0"/>
    <x v="2"/>
    <x v="21"/>
    <x v="1"/>
    <x v="0"/>
    <x v="119"/>
    <x v="121"/>
    <x v="119"/>
    <x v="120"/>
    <x v="2"/>
    <x v="2"/>
    <x v="121"/>
    <x v="121"/>
    <x v="121"/>
  </r>
  <r>
    <x v="3"/>
    <x v="3"/>
    <x v="6"/>
    <x v="16"/>
    <x v="1"/>
    <x v="1"/>
    <x v="120"/>
    <x v="122"/>
    <x v="120"/>
    <x v="121"/>
    <x v="6"/>
    <x v="6"/>
    <x v="122"/>
    <x v="122"/>
    <x v="122"/>
  </r>
  <r>
    <x v="6"/>
    <x v="14"/>
    <x v="9"/>
    <x v="6"/>
    <x v="0"/>
    <x v="1"/>
    <x v="121"/>
    <x v="123"/>
    <x v="121"/>
    <x v="122"/>
    <x v="9"/>
    <x v="9"/>
    <x v="123"/>
    <x v="123"/>
    <x v="123"/>
  </r>
  <r>
    <x v="5"/>
    <x v="10"/>
    <x v="9"/>
    <x v="17"/>
    <x v="0"/>
    <x v="3"/>
    <x v="122"/>
    <x v="124"/>
    <x v="122"/>
    <x v="123"/>
    <x v="9"/>
    <x v="9"/>
    <x v="124"/>
    <x v="124"/>
    <x v="124"/>
  </r>
  <r>
    <x v="0"/>
    <x v="7"/>
    <x v="0"/>
    <x v="19"/>
    <x v="1"/>
    <x v="2"/>
    <x v="123"/>
    <x v="125"/>
    <x v="123"/>
    <x v="124"/>
    <x v="0"/>
    <x v="0"/>
    <x v="125"/>
    <x v="125"/>
    <x v="125"/>
  </r>
  <r>
    <x v="1"/>
    <x v="20"/>
    <x v="0"/>
    <x v="19"/>
    <x v="1"/>
    <x v="1"/>
    <x v="124"/>
    <x v="126"/>
    <x v="124"/>
    <x v="125"/>
    <x v="0"/>
    <x v="0"/>
    <x v="126"/>
    <x v="126"/>
    <x v="126"/>
  </r>
  <r>
    <x v="6"/>
    <x v="21"/>
    <x v="9"/>
    <x v="19"/>
    <x v="0"/>
    <x v="2"/>
    <x v="125"/>
    <x v="127"/>
    <x v="125"/>
    <x v="126"/>
    <x v="9"/>
    <x v="9"/>
    <x v="127"/>
    <x v="127"/>
    <x v="127"/>
  </r>
  <r>
    <x v="3"/>
    <x v="19"/>
    <x v="2"/>
    <x v="19"/>
    <x v="1"/>
    <x v="0"/>
    <x v="126"/>
    <x v="128"/>
    <x v="126"/>
    <x v="127"/>
    <x v="2"/>
    <x v="2"/>
    <x v="128"/>
    <x v="128"/>
    <x v="128"/>
  </r>
  <r>
    <x v="1"/>
    <x v="13"/>
    <x v="3"/>
    <x v="1"/>
    <x v="1"/>
    <x v="3"/>
    <x v="127"/>
    <x v="129"/>
    <x v="127"/>
    <x v="128"/>
    <x v="3"/>
    <x v="3"/>
    <x v="129"/>
    <x v="129"/>
    <x v="129"/>
  </r>
  <r>
    <x v="1"/>
    <x v="17"/>
    <x v="6"/>
    <x v="10"/>
    <x v="1"/>
    <x v="3"/>
    <x v="128"/>
    <x v="130"/>
    <x v="128"/>
    <x v="129"/>
    <x v="6"/>
    <x v="6"/>
    <x v="130"/>
    <x v="130"/>
    <x v="130"/>
  </r>
  <r>
    <x v="4"/>
    <x v="18"/>
    <x v="0"/>
    <x v="18"/>
    <x v="0"/>
    <x v="2"/>
    <x v="129"/>
    <x v="131"/>
    <x v="129"/>
    <x v="130"/>
    <x v="0"/>
    <x v="0"/>
    <x v="131"/>
    <x v="131"/>
    <x v="131"/>
  </r>
  <r>
    <x v="4"/>
    <x v="5"/>
    <x v="8"/>
    <x v="3"/>
    <x v="1"/>
    <x v="3"/>
    <x v="130"/>
    <x v="132"/>
    <x v="130"/>
    <x v="131"/>
    <x v="8"/>
    <x v="8"/>
    <x v="132"/>
    <x v="132"/>
    <x v="132"/>
  </r>
  <r>
    <x v="1"/>
    <x v="17"/>
    <x v="4"/>
    <x v="6"/>
    <x v="1"/>
    <x v="1"/>
    <x v="131"/>
    <x v="133"/>
    <x v="131"/>
    <x v="132"/>
    <x v="4"/>
    <x v="4"/>
    <x v="133"/>
    <x v="133"/>
    <x v="133"/>
  </r>
  <r>
    <x v="2"/>
    <x v="8"/>
    <x v="5"/>
    <x v="1"/>
    <x v="0"/>
    <x v="3"/>
    <x v="132"/>
    <x v="134"/>
    <x v="132"/>
    <x v="133"/>
    <x v="5"/>
    <x v="5"/>
    <x v="134"/>
    <x v="134"/>
    <x v="134"/>
  </r>
  <r>
    <x v="4"/>
    <x v="18"/>
    <x v="3"/>
    <x v="15"/>
    <x v="0"/>
    <x v="2"/>
    <x v="133"/>
    <x v="135"/>
    <x v="133"/>
    <x v="134"/>
    <x v="3"/>
    <x v="3"/>
    <x v="135"/>
    <x v="135"/>
    <x v="135"/>
  </r>
  <r>
    <x v="3"/>
    <x v="19"/>
    <x v="8"/>
    <x v="7"/>
    <x v="1"/>
    <x v="3"/>
    <x v="134"/>
    <x v="136"/>
    <x v="134"/>
    <x v="135"/>
    <x v="8"/>
    <x v="8"/>
    <x v="136"/>
    <x v="136"/>
    <x v="136"/>
  </r>
  <r>
    <x v="1"/>
    <x v="13"/>
    <x v="8"/>
    <x v="8"/>
    <x v="1"/>
    <x v="0"/>
    <x v="135"/>
    <x v="137"/>
    <x v="135"/>
    <x v="136"/>
    <x v="8"/>
    <x v="8"/>
    <x v="137"/>
    <x v="137"/>
    <x v="137"/>
  </r>
  <r>
    <x v="1"/>
    <x v="24"/>
    <x v="5"/>
    <x v="9"/>
    <x v="0"/>
    <x v="0"/>
    <x v="136"/>
    <x v="138"/>
    <x v="136"/>
    <x v="137"/>
    <x v="5"/>
    <x v="5"/>
    <x v="138"/>
    <x v="138"/>
    <x v="138"/>
  </r>
  <r>
    <x v="6"/>
    <x v="21"/>
    <x v="5"/>
    <x v="7"/>
    <x v="0"/>
    <x v="1"/>
    <x v="137"/>
    <x v="139"/>
    <x v="137"/>
    <x v="138"/>
    <x v="5"/>
    <x v="5"/>
    <x v="139"/>
    <x v="139"/>
    <x v="139"/>
  </r>
  <r>
    <x v="4"/>
    <x v="5"/>
    <x v="3"/>
    <x v="14"/>
    <x v="0"/>
    <x v="2"/>
    <x v="138"/>
    <x v="140"/>
    <x v="138"/>
    <x v="139"/>
    <x v="3"/>
    <x v="3"/>
    <x v="140"/>
    <x v="140"/>
    <x v="140"/>
  </r>
  <r>
    <x v="1"/>
    <x v="4"/>
    <x v="1"/>
    <x v="0"/>
    <x v="1"/>
    <x v="0"/>
    <x v="139"/>
    <x v="141"/>
    <x v="139"/>
    <x v="140"/>
    <x v="1"/>
    <x v="1"/>
    <x v="141"/>
    <x v="141"/>
    <x v="141"/>
  </r>
  <r>
    <x v="3"/>
    <x v="9"/>
    <x v="6"/>
    <x v="0"/>
    <x v="1"/>
    <x v="3"/>
    <x v="112"/>
    <x v="142"/>
    <x v="140"/>
    <x v="141"/>
    <x v="6"/>
    <x v="6"/>
    <x v="142"/>
    <x v="142"/>
    <x v="142"/>
  </r>
  <r>
    <x v="3"/>
    <x v="9"/>
    <x v="8"/>
    <x v="17"/>
    <x v="0"/>
    <x v="0"/>
    <x v="140"/>
    <x v="143"/>
    <x v="141"/>
    <x v="142"/>
    <x v="8"/>
    <x v="8"/>
    <x v="143"/>
    <x v="143"/>
    <x v="143"/>
  </r>
  <r>
    <x v="6"/>
    <x v="21"/>
    <x v="4"/>
    <x v="5"/>
    <x v="1"/>
    <x v="3"/>
    <x v="141"/>
    <x v="144"/>
    <x v="142"/>
    <x v="143"/>
    <x v="4"/>
    <x v="4"/>
    <x v="144"/>
    <x v="144"/>
    <x v="144"/>
  </r>
  <r>
    <x v="2"/>
    <x v="2"/>
    <x v="2"/>
    <x v="15"/>
    <x v="0"/>
    <x v="1"/>
    <x v="142"/>
    <x v="145"/>
    <x v="143"/>
    <x v="144"/>
    <x v="2"/>
    <x v="2"/>
    <x v="145"/>
    <x v="145"/>
    <x v="145"/>
  </r>
  <r>
    <x v="1"/>
    <x v="17"/>
    <x v="0"/>
    <x v="11"/>
    <x v="0"/>
    <x v="3"/>
    <x v="143"/>
    <x v="146"/>
    <x v="144"/>
    <x v="145"/>
    <x v="0"/>
    <x v="0"/>
    <x v="146"/>
    <x v="146"/>
    <x v="146"/>
  </r>
  <r>
    <x v="3"/>
    <x v="19"/>
    <x v="9"/>
    <x v="15"/>
    <x v="1"/>
    <x v="3"/>
    <x v="20"/>
    <x v="147"/>
    <x v="20"/>
    <x v="146"/>
    <x v="9"/>
    <x v="9"/>
    <x v="147"/>
    <x v="147"/>
    <x v="147"/>
  </r>
  <r>
    <x v="0"/>
    <x v="0"/>
    <x v="0"/>
    <x v="19"/>
    <x v="1"/>
    <x v="3"/>
    <x v="144"/>
    <x v="148"/>
    <x v="145"/>
    <x v="147"/>
    <x v="0"/>
    <x v="0"/>
    <x v="148"/>
    <x v="148"/>
    <x v="148"/>
  </r>
  <r>
    <x v="4"/>
    <x v="18"/>
    <x v="9"/>
    <x v="17"/>
    <x v="0"/>
    <x v="0"/>
    <x v="145"/>
    <x v="149"/>
    <x v="146"/>
    <x v="148"/>
    <x v="9"/>
    <x v="9"/>
    <x v="149"/>
    <x v="149"/>
    <x v="14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50">
  <r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1"/>
    <x v="1"/>
    <x v="1"/>
    <x v="1"/>
    <x v="1"/>
    <x v="0"/>
    <x v="0"/>
    <x v="1"/>
    <x v="1"/>
    <x v="1"/>
  </r>
  <r>
    <x v="2"/>
    <x v="2"/>
    <x v="1"/>
    <x v="2"/>
    <x v="1"/>
    <x v="0"/>
    <x v="2"/>
    <x v="2"/>
    <x v="2"/>
    <x v="2"/>
    <x v="1"/>
    <x v="1"/>
    <x v="2"/>
    <x v="2"/>
    <x v="2"/>
  </r>
  <r>
    <x v="3"/>
    <x v="3"/>
    <x v="2"/>
    <x v="3"/>
    <x v="0"/>
    <x v="0"/>
    <x v="3"/>
    <x v="3"/>
    <x v="3"/>
    <x v="3"/>
    <x v="2"/>
    <x v="2"/>
    <x v="3"/>
    <x v="3"/>
    <x v="3"/>
  </r>
  <r>
    <x v="0"/>
    <x v="0"/>
    <x v="3"/>
    <x v="4"/>
    <x v="1"/>
    <x v="2"/>
    <x v="4"/>
    <x v="4"/>
    <x v="4"/>
    <x v="4"/>
    <x v="3"/>
    <x v="3"/>
    <x v="4"/>
    <x v="4"/>
    <x v="4"/>
  </r>
  <r>
    <x v="1"/>
    <x v="4"/>
    <x v="4"/>
    <x v="5"/>
    <x v="1"/>
    <x v="3"/>
    <x v="5"/>
    <x v="5"/>
    <x v="5"/>
    <x v="5"/>
    <x v="4"/>
    <x v="4"/>
    <x v="5"/>
    <x v="5"/>
    <x v="5"/>
  </r>
  <r>
    <x v="4"/>
    <x v="5"/>
    <x v="4"/>
    <x v="6"/>
    <x v="1"/>
    <x v="2"/>
    <x v="6"/>
    <x v="6"/>
    <x v="6"/>
    <x v="6"/>
    <x v="4"/>
    <x v="4"/>
    <x v="6"/>
    <x v="6"/>
    <x v="6"/>
  </r>
  <r>
    <x v="4"/>
    <x v="5"/>
    <x v="5"/>
    <x v="2"/>
    <x v="1"/>
    <x v="0"/>
    <x v="7"/>
    <x v="7"/>
    <x v="7"/>
    <x v="7"/>
    <x v="5"/>
    <x v="5"/>
    <x v="7"/>
    <x v="7"/>
    <x v="7"/>
  </r>
  <r>
    <x v="0"/>
    <x v="0"/>
    <x v="0"/>
    <x v="0"/>
    <x v="1"/>
    <x v="1"/>
    <x v="8"/>
    <x v="8"/>
    <x v="8"/>
    <x v="8"/>
    <x v="0"/>
    <x v="0"/>
    <x v="8"/>
    <x v="8"/>
    <x v="8"/>
  </r>
  <r>
    <x v="5"/>
    <x v="6"/>
    <x v="3"/>
    <x v="5"/>
    <x v="0"/>
    <x v="1"/>
    <x v="9"/>
    <x v="9"/>
    <x v="9"/>
    <x v="9"/>
    <x v="3"/>
    <x v="3"/>
    <x v="9"/>
    <x v="9"/>
    <x v="9"/>
  </r>
  <r>
    <x v="0"/>
    <x v="7"/>
    <x v="6"/>
    <x v="7"/>
    <x v="1"/>
    <x v="3"/>
    <x v="10"/>
    <x v="10"/>
    <x v="10"/>
    <x v="10"/>
    <x v="6"/>
    <x v="6"/>
    <x v="10"/>
    <x v="10"/>
    <x v="10"/>
  </r>
  <r>
    <x v="2"/>
    <x v="8"/>
    <x v="2"/>
    <x v="8"/>
    <x v="1"/>
    <x v="3"/>
    <x v="11"/>
    <x v="11"/>
    <x v="11"/>
    <x v="11"/>
    <x v="2"/>
    <x v="2"/>
    <x v="11"/>
    <x v="11"/>
    <x v="11"/>
  </r>
  <r>
    <x v="0"/>
    <x v="7"/>
    <x v="0"/>
    <x v="9"/>
    <x v="0"/>
    <x v="2"/>
    <x v="12"/>
    <x v="12"/>
    <x v="12"/>
    <x v="12"/>
    <x v="0"/>
    <x v="0"/>
    <x v="12"/>
    <x v="12"/>
    <x v="12"/>
  </r>
  <r>
    <x v="3"/>
    <x v="9"/>
    <x v="6"/>
    <x v="10"/>
    <x v="0"/>
    <x v="0"/>
    <x v="13"/>
    <x v="13"/>
    <x v="13"/>
    <x v="13"/>
    <x v="6"/>
    <x v="6"/>
    <x v="13"/>
    <x v="13"/>
    <x v="13"/>
  </r>
  <r>
    <x v="0"/>
    <x v="7"/>
    <x v="2"/>
    <x v="11"/>
    <x v="1"/>
    <x v="1"/>
    <x v="14"/>
    <x v="14"/>
    <x v="14"/>
    <x v="14"/>
    <x v="2"/>
    <x v="2"/>
    <x v="14"/>
    <x v="14"/>
    <x v="14"/>
  </r>
  <r>
    <x v="5"/>
    <x v="10"/>
    <x v="7"/>
    <x v="4"/>
    <x v="0"/>
    <x v="3"/>
    <x v="15"/>
    <x v="15"/>
    <x v="15"/>
    <x v="15"/>
    <x v="7"/>
    <x v="7"/>
    <x v="15"/>
    <x v="15"/>
    <x v="15"/>
  </r>
  <r>
    <x v="5"/>
    <x v="11"/>
    <x v="2"/>
    <x v="12"/>
    <x v="1"/>
    <x v="1"/>
    <x v="16"/>
    <x v="16"/>
    <x v="16"/>
    <x v="16"/>
    <x v="2"/>
    <x v="2"/>
    <x v="16"/>
    <x v="16"/>
    <x v="16"/>
  </r>
  <r>
    <x v="5"/>
    <x v="10"/>
    <x v="2"/>
    <x v="4"/>
    <x v="1"/>
    <x v="1"/>
    <x v="17"/>
    <x v="17"/>
    <x v="17"/>
    <x v="17"/>
    <x v="2"/>
    <x v="2"/>
    <x v="17"/>
    <x v="17"/>
    <x v="17"/>
  </r>
  <r>
    <x v="5"/>
    <x v="12"/>
    <x v="3"/>
    <x v="1"/>
    <x v="0"/>
    <x v="0"/>
    <x v="18"/>
    <x v="18"/>
    <x v="18"/>
    <x v="18"/>
    <x v="3"/>
    <x v="3"/>
    <x v="18"/>
    <x v="18"/>
    <x v="18"/>
  </r>
  <r>
    <x v="1"/>
    <x v="13"/>
    <x v="6"/>
    <x v="11"/>
    <x v="1"/>
    <x v="2"/>
    <x v="19"/>
    <x v="19"/>
    <x v="19"/>
    <x v="19"/>
    <x v="6"/>
    <x v="6"/>
    <x v="19"/>
    <x v="19"/>
    <x v="19"/>
  </r>
  <r>
    <x v="6"/>
    <x v="14"/>
    <x v="1"/>
    <x v="13"/>
    <x v="1"/>
    <x v="0"/>
    <x v="20"/>
    <x v="20"/>
    <x v="20"/>
    <x v="20"/>
    <x v="1"/>
    <x v="1"/>
    <x v="20"/>
    <x v="20"/>
    <x v="20"/>
  </r>
  <r>
    <x v="5"/>
    <x v="10"/>
    <x v="8"/>
    <x v="9"/>
    <x v="1"/>
    <x v="1"/>
    <x v="21"/>
    <x v="21"/>
    <x v="21"/>
    <x v="21"/>
    <x v="8"/>
    <x v="8"/>
    <x v="21"/>
    <x v="21"/>
    <x v="21"/>
  </r>
  <r>
    <x v="1"/>
    <x v="1"/>
    <x v="2"/>
    <x v="14"/>
    <x v="1"/>
    <x v="3"/>
    <x v="22"/>
    <x v="22"/>
    <x v="22"/>
    <x v="22"/>
    <x v="2"/>
    <x v="2"/>
    <x v="22"/>
    <x v="22"/>
    <x v="22"/>
  </r>
  <r>
    <x v="6"/>
    <x v="15"/>
    <x v="9"/>
    <x v="9"/>
    <x v="1"/>
    <x v="0"/>
    <x v="23"/>
    <x v="23"/>
    <x v="23"/>
    <x v="23"/>
    <x v="9"/>
    <x v="9"/>
    <x v="23"/>
    <x v="23"/>
    <x v="23"/>
  </r>
  <r>
    <x v="6"/>
    <x v="14"/>
    <x v="9"/>
    <x v="3"/>
    <x v="0"/>
    <x v="3"/>
    <x v="24"/>
    <x v="24"/>
    <x v="24"/>
    <x v="24"/>
    <x v="9"/>
    <x v="9"/>
    <x v="24"/>
    <x v="24"/>
    <x v="24"/>
  </r>
  <r>
    <x v="3"/>
    <x v="3"/>
    <x v="6"/>
    <x v="13"/>
    <x v="1"/>
    <x v="3"/>
    <x v="25"/>
    <x v="25"/>
    <x v="25"/>
    <x v="25"/>
    <x v="6"/>
    <x v="6"/>
    <x v="25"/>
    <x v="25"/>
    <x v="25"/>
  </r>
  <r>
    <x v="0"/>
    <x v="16"/>
    <x v="0"/>
    <x v="10"/>
    <x v="0"/>
    <x v="2"/>
    <x v="26"/>
    <x v="26"/>
    <x v="26"/>
    <x v="26"/>
    <x v="0"/>
    <x v="0"/>
    <x v="26"/>
    <x v="26"/>
    <x v="26"/>
  </r>
  <r>
    <x v="2"/>
    <x v="8"/>
    <x v="8"/>
    <x v="3"/>
    <x v="1"/>
    <x v="2"/>
    <x v="27"/>
    <x v="27"/>
    <x v="27"/>
    <x v="27"/>
    <x v="8"/>
    <x v="8"/>
    <x v="27"/>
    <x v="27"/>
    <x v="27"/>
  </r>
  <r>
    <x v="1"/>
    <x v="17"/>
    <x v="8"/>
    <x v="8"/>
    <x v="0"/>
    <x v="3"/>
    <x v="28"/>
    <x v="28"/>
    <x v="28"/>
    <x v="28"/>
    <x v="8"/>
    <x v="8"/>
    <x v="28"/>
    <x v="28"/>
    <x v="28"/>
  </r>
  <r>
    <x v="4"/>
    <x v="18"/>
    <x v="1"/>
    <x v="13"/>
    <x v="0"/>
    <x v="1"/>
    <x v="29"/>
    <x v="29"/>
    <x v="29"/>
    <x v="29"/>
    <x v="1"/>
    <x v="1"/>
    <x v="29"/>
    <x v="29"/>
    <x v="29"/>
  </r>
  <r>
    <x v="3"/>
    <x v="19"/>
    <x v="3"/>
    <x v="1"/>
    <x v="0"/>
    <x v="1"/>
    <x v="30"/>
    <x v="30"/>
    <x v="30"/>
    <x v="30"/>
    <x v="3"/>
    <x v="3"/>
    <x v="30"/>
    <x v="30"/>
    <x v="30"/>
  </r>
  <r>
    <x v="6"/>
    <x v="14"/>
    <x v="4"/>
    <x v="10"/>
    <x v="1"/>
    <x v="1"/>
    <x v="31"/>
    <x v="31"/>
    <x v="31"/>
    <x v="31"/>
    <x v="4"/>
    <x v="4"/>
    <x v="31"/>
    <x v="31"/>
    <x v="31"/>
  </r>
  <r>
    <x v="0"/>
    <x v="7"/>
    <x v="1"/>
    <x v="10"/>
    <x v="1"/>
    <x v="2"/>
    <x v="32"/>
    <x v="32"/>
    <x v="32"/>
    <x v="32"/>
    <x v="1"/>
    <x v="1"/>
    <x v="32"/>
    <x v="32"/>
    <x v="32"/>
  </r>
  <r>
    <x v="4"/>
    <x v="18"/>
    <x v="9"/>
    <x v="14"/>
    <x v="0"/>
    <x v="3"/>
    <x v="33"/>
    <x v="33"/>
    <x v="33"/>
    <x v="33"/>
    <x v="9"/>
    <x v="9"/>
    <x v="33"/>
    <x v="33"/>
    <x v="33"/>
  </r>
  <r>
    <x v="1"/>
    <x v="20"/>
    <x v="1"/>
    <x v="5"/>
    <x v="1"/>
    <x v="1"/>
    <x v="34"/>
    <x v="34"/>
    <x v="34"/>
    <x v="34"/>
    <x v="1"/>
    <x v="1"/>
    <x v="34"/>
    <x v="34"/>
    <x v="34"/>
  </r>
  <r>
    <x v="6"/>
    <x v="14"/>
    <x v="7"/>
    <x v="14"/>
    <x v="0"/>
    <x v="2"/>
    <x v="35"/>
    <x v="35"/>
    <x v="35"/>
    <x v="35"/>
    <x v="7"/>
    <x v="7"/>
    <x v="35"/>
    <x v="35"/>
    <x v="35"/>
  </r>
  <r>
    <x v="6"/>
    <x v="21"/>
    <x v="7"/>
    <x v="1"/>
    <x v="1"/>
    <x v="1"/>
    <x v="36"/>
    <x v="36"/>
    <x v="36"/>
    <x v="36"/>
    <x v="7"/>
    <x v="7"/>
    <x v="36"/>
    <x v="36"/>
    <x v="36"/>
  </r>
  <r>
    <x v="6"/>
    <x v="15"/>
    <x v="5"/>
    <x v="11"/>
    <x v="0"/>
    <x v="0"/>
    <x v="37"/>
    <x v="37"/>
    <x v="37"/>
    <x v="37"/>
    <x v="5"/>
    <x v="5"/>
    <x v="37"/>
    <x v="37"/>
    <x v="37"/>
  </r>
  <r>
    <x v="2"/>
    <x v="8"/>
    <x v="9"/>
    <x v="15"/>
    <x v="0"/>
    <x v="3"/>
    <x v="38"/>
    <x v="38"/>
    <x v="38"/>
    <x v="38"/>
    <x v="9"/>
    <x v="9"/>
    <x v="38"/>
    <x v="38"/>
    <x v="38"/>
  </r>
  <r>
    <x v="6"/>
    <x v="14"/>
    <x v="9"/>
    <x v="3"/>
    <x v="0"/>
    <x v="1"/>
    <x v="39"/>
    <x v="39"/>
    <x v="39"/>
    <x v="39"/>
    <x v="9"/>
    <x v="9"/>
    <x v="39"/>
    <x v="39"/>
    <x v="39"/>
  </r>
  <r>
    <x v="6"/>
    <x v="14"/>
    <x v="2"/>
    <x v="4"/>
    <x v="0"/>
    <x v="2"/>
    <x v="40"/>
    <x v="40"/>
    <x v="40"/>
    <x v="40"/>
    <x v="2"/>
    <x v="2"/>
    <x v="40"/>
    <x v="40"/>
    <x v="40"/>
  </r>
  <r>
    <x v="4"/>
    <x v="18"/>
    <x v="6"/>
    <x v="5"/>
    <x v="1"/>
    <x v="0"/>
    <x v="41"/>
    <x v="41"/>
    <x v="41"/>
    <x v="41"/>
    <x v="6"/>
    <x v="6"/>
    <x v="41"/>
    <x v="41"/>
    <x v="41"/>
  </r>
  <r>
    <x v="3"/>
    <x v="9"/>
    <x v="2"/>
    <x v="16"/>
    <x v="1"/>
    <x v="0"/>
    <x v="42"/>
    <x v="42"/>
    <x v="42"/>
    <x v="42"/>
    <x v="2"/>
    <x v="2"/>
    <x v="42"/>
    <x v="42"/>
    <x v="42"/>
  </r>
  <r>
    <x v="1"/>
    <x v="13"/>
    <x v="0"/>
    <x v="0"/>
    <x v="1"/>
    <x v="2"/>
    <x v="43"/>
    <x v="43"/>
    <x v="43"/>
    <x v="43"/>
    <x v="0"/>
    <x v="0"/>
    <x v="43"/>
    <x v="43"/>
    <x v="43"/>
  </r>
  <r>
    <x v="1"/>
    <x v="1"/>
    <x v="6"/>
    <x v="17"/>
    <x v="1"/>
    <x v="2"/>
    <x v="44"/>
    <x v="44"/>
    <x v="44"/>
    <x v="44"/>
    <x v="6"/>
    <x v="6"/>
    <x v="44"/>
    <x v="44"/>
    <x v="44"/>
  </r>
  <r>
    <x v="0"/>
    <x v="7"/>
    <x v="2"/>
    <x v="9"/>
    <x v="1"/>
    <x v="1"/>
    <x v="45"/>
    <x v="45"/>
    <x v="25"/>
    <x v="45"/>
    <x v="2"/>
    <x v="2"/>
    <x v="45"/>
    <x v="45"/>
    <x v="45"/>
  </r>
  <r>
    <x v="5"/>
    <x v="12"/>
    <x v="1"/>
    <x v="10"/>
    <x v="0"/>
    <x v="0"/>
    <x v="46"/>
    <x v="46"/>
    <x v="45"/>
    <x v="46"/>
    <x v="1"/>
    <x v="1"/>
    <x v="46"/>
    <x v="46"/>
    <x v="46"/>
  </r>
  <r>
    <x v="1"/>
    <x v="13"/>
    <x v="8"/>
    <x v="9"/>
    <x v="1"/>
    <x v="1"/>
    <x v="47"/>
    <x v="47"/>
    <x v="46"/>
    <x v="47"/>
    <x v="8"/>
    <x v="8"/>
    <x v="47"/>
    <x v="47"/>
    <x v="47"/>
  </r>
  <r>
    <x v="3"/>
    <x v="9"/>
    <x v="9"/>
    <x v="18"/>
    <x v="1"/>
    <x v="1"/>
    <x v="48"/>
    <x v="48"/>
    <x v="47"/>
    <x v="48"/>
    <x v="9"/>
    <x v="9"/>
    <x v="48"/>
    <x v="48"/>
    <x v="48"/>
  </r>
  <r>
    <x v="1"/>
    <x v="1"/>
    <x v="1"/>
    <x v="9"/>
    <x v="0"/>
    <x v="0"/>
    <x v="49"/>
    <x v="49"/>
    <x v="48"/>
    <x v="49"/>
    <x v="1"/>
    <x v="1"/>
    <x v="49"/>
    <x v="49"/>
    <x v="49"/>
  </r>
  <r>
    <x v="5"/>
    <x v="11"/>
    <x v="2"/>
    <x v="19"/>
    <x v="1"/>
    <x v="2"/>
    <x v="50"/>
    <x v="50"/>
    <x v="49"/>
    <x v="50"/>
    <x v="2"/>
    <x v="2"/>
    <x v="50"/>
    <x v="50"/>
    <x v="50"/>
  </r>
  <r>
    <x v="0"/>
    <x v="16"/>
    <x v="1"/>
    <x v="13"/>
    <x v="1"/>
    <x v="2"/>
    <x v="51"/>
    <x v="51"/>
    <x v="50"/>
    <x v="51"/>
    <x v="1"/>
    <x v="1"/>
    <x v="51"/>
    <x v="51"/>
    <x v="51"/>
  </r>
  <r>
    <x v="1"/>
    <x v="17"/>
    <x v="7"/>
    <x v="2"/>
    <x v="0"/>
    <x v="1"/>
    <x v="52"/>
    <x v="52"/>
    <x v="51"/>
    <x v="52"/>
    <x v="7"/>
    <x v="7"/>
    <x v="52"/>
    <x v="52"/>
    <x v="52"/>
  </r>
  <r>
    <x v="5"/>
    <x v="12"/>
    <x v="5"/>
    <x v="19"/>
    <x v="1"/>
    <x v="3"/>
    <x v="53"/>
    <x v="53"/>
    <x v="52"/>
    <x v="53"/>
    <x v="5"/>
    <x v="5"/>
    <x v="53"/>
    <x v="53"/>
    <x v="53"/>
  </r>
  <r>
    <x v="1"/>
    <x v="4"/>
    <x v="2"/>
    <x v="15"/>
    <x v="0"/>
    <x v="1"/>
    <x v="54"/>
    <x v="54"/>
    <x v="53"/>
    <x v="54"/>
    <x v="2"/>
    <x v="2"/>
    <x v="54"/>
    <x v="54"/>
    <x v="54"/>
  </r>
  <r>
    <x v="5"/>
    <x v="22"/>
    <x v="7"/>
    <x v="20"/>
    <x v="1"/>
    <x v="1"/>
    <x v="55"/>
    <x v="55"/>
    <x v="54"/>
    <x v="55"/>
    <x v="7"/>
    <x v="7"/>
    <x v="55"/>
    <x v="55"/>
    <x v="55"/>
  </r>
  <r>
    <x v="6"/>
    <x v="15"/>
    <x v="4"/>
    <x v="6"/>
    <x v="0"/>
    <x v="3"/>
    <x v="56"/>
    <x v="56"/>
    <x v="55"/>
    <x v="56"/>
    <x v="4"/>
    <x v="4"/>
    <x v="56"/>
    <x v="56"/>
    <x v="56"/>
  </r>
  <r>
    <x v="1"/>
    <x v="1"/>
    <x v="1"/>
    <x v="12"/>
    <x v="0"/>
    <x v="1"/>
    <x v="57"/>
    <x v="57"/>
    <x v="56"/>
    <x v="57"/>
    <x v="1"/>
    <x v="1"/>
    <x v="57"/>
    <x v="57"/>
    <x v="57"/>
  </r>
  <r>
    <x v="6"/>
    <x v="21"/>
    <x v="6"/>
    <x v="7"/>
    <x v="1"/>
    <x v="2"/>
    <x v="58"/>
    <x v="58"/>
    <x v="57"/>
    <x v="58"/>
    <x v="6"/>
    <x v="6"/>
    <x v="58"/>
    <x v="58"/>
    <x v="58"/>
  </r>
  <r>
    <x v="0"/>
    <x v="16"/>
    <x v="4"/>
    <x v="19"/>
    <x v="1"/>
    <x v="3"/>
    <x v="59"/>
    <x v="59"/>
    <x v="58"/>
    <x v="59"/>
    <x v="4"/>
    <x v="4"/>
    <x v="59"/>
    <x v="59"/>
    <x v="59"/>
  </r>
  <r>
    <x v="6"/>
    <x v="15"/>
    <x v="7"/>
    <x v="20"/>
    <x v="0"/>
    <x v="3"/>
    <x v="60"/>
    <x v="60"/>
    <x v="59"/>
    <x v="60"/>
    <x v="7"/>
    <x v="7"/>
    <x v="60"/>
    <x v="60"/>
    <x v="60"/>
  </r>
  <r>
    <x v="2"/>
    <x v="23"/>
    <x v="8"/>
    <x v="18"/>
    <x v="0"/>
    <x v="0"/>
    <x v="61"/>
    <x v="61"/>
    <x v="60"/>
    <x v="61"/>
    <x v="8"/>
    <x v="8"/>
    <x v="61"/>
    <x v="61"/>
    <x v="61"/>
  </r>
  <r>
    <x v="3"/>
    <x v="3"/>
    <x v="5"/>
    <x v="5"/>
    <x v="1"/>
    <x v="1"/>
    <x v="62"/>
    <x v="62"/>
    <x v="61"/>
    <x v="62"/>
    <x v="5"/>
    <x v="5"/>
    <x v="62"/>
    <x v="62"/>
    <x v="62"/>
  </r>
  <r>
    <x v="4"/>
    <x v="5"/>
    <x v="0"/>
    <x v="11"/>
    <x v="0"/>
    <x v="0"/>
    <x v="63"/>
    <x v="63"/>
    <x v="62"/>
    <x v="63"/>
    <x v="0"/>
    <x v="0"/>
    <x v="63"/>
    <x v="63"/>
    <x v="63"/>
  </r>
  <r>
    <x v="1"/>
    <x v="20"/>
    <x v="6"/>
    <x v="17"/>
    <x v="1"/>
    <x v="1"/>
    <x v="64"/>
    <x v="64"/>
    <x v="63"/>
    <x v="64"/>
    <x v="6"/>
    <x v="6"/>
    <x v="64"/>
    <x v="64"/>
    <x v="64"/>
  </r>
  <r>
    <x v="0"/>
    <x v="0"/>
    <x v="4"/>
    <x v="20"/>
    <x v="1"/>
    <x v="2"/>
    <x v="65"/>
    <x v="65"/>
    <x v="64"/>
    <x v="65"/>
    <x v="4"/>
    <x v="4"/>
    <x v="65"/>
    <x v="65"/>
    <x v="65"/>
  </r>
  <r>
    <x v="2"/>
    <x v="8"/>
    <x v="8"/>
    <x v="1"/>
    <x v="0"/>
    <x v="1"/>
    <x v="66"/>
    <x v="66"/>
    <x v="65"/>
    <x v="66"/>
    <x v="8"/>
    <x v="8"/>
    <x v="66"/>
    <x v="66"/>
    <x v="66"/>
  </r>
  <r>
    <x v="5"/>
    <x v="6"/>
    <x v="0"/>
    <x v="8"/>
    <x v="0"/>
    <x v="1"/>
    <x v="67"/>
    <x v="67"/>
    <x v="66"/>
    <x v="67"/>
    <x v="0"/>
    <x v="0"/>
    <x v="67"/>
    <x v="67"/>
    <x v="67"/>
  </r>
  <r>
    <x v="5"/>
    <x v="22"/>
    <x v="3"/>
    <x v="10"/>
    <x v="1"/>
    <x v="1"/>
    <x v="68"/>
    <x v="68"/>
    <x v="67"/>
    <x v="68"/>
    <x v="3"/>
    <x v="3"/>
    <x v="68"/>
    <x v="68"/>
    <x v="68"/>
  </r>
  <r>
    <x v="0"/>
    <x v="0"/>
    <x v="9"/>
    <x v="0"/>
    <x v="0"/>
    <x v="2"/>
    <x v="69"/>
    <x v="69"/>
    <x v="68"/>
    <x v="69"/>
    <x v="9"/>
    <x v="9"/>
    <x v="69"/>
    <x v="69"/>
    <x v="69"/>
  </r>
  <r>
    <x v="6"/>
    <x v="14"/>
    <x v="1"/>
    <x v="0"/>
    <x v="1"/>
    <x v="0"/>
    <x v="70"/>
    <x v="70"/>
    <x v="69"/>
    <x v="70"/>
    <x v="1"/>
    <x v="1"/>
    <x v="70"/>
    <x v="70"/>
    <x v="70"/>
  </r>
  <r>
    <x v="5"/>
    <x v="11"/>
    <x v="0"/>
    <x v="14"/>
    <x v="1"/>
    <x v="2"/>
    <x v="71"/>
    <x v="71"/>
    <x v="70"/>
    <x v="71"/>
    <x v="0"/>
    <x v="0"/>
    <x v="71"/>
    <x v="71"/>
    <x v="71"/>
  </r>
  <r>
    <x v="2"/>
    <x v="23"/>
    <x v="5"/>
    <x v="9"/>
    <x v="0"/>
    <x v="2"/>
    <x v="72"/>
    <x v="72"/>
    <x v="71"/>
    <x v="72"/>
    <x v="5"/>
    <x v="5"/>
    <x v="72"/>
    <x v="72"/>
    <x v="72"/>
  </r>
  <r>
    <x v="5"/>
    <x v="12"/>
    <x v="6"/>
    <x v="14"/>
    <x v="1"/>
    <x v="3"/>
    <x v="73"/>
    <x v="73"/>
    <x v="72"/>
    <x v="73"/>
    <x v="6"/>
    <x v="6"/>
    <x v="73"/>
    <x v="73"/>
    <x v="73"/>
  </r>
  <r>
    <x v="4"/>
    <x v="18"/>
    <x v="7"/>
    <x v="10"/>
    <x v="1"/>
    <x v="1"/>
    <x v="74"/>
    <x v="74"/>
    <x v="73"/>
    <x v="74"/>
    <x v="7"/>
    <x v="7"/>
    <x v="74"/>
    <x v="74"/>
    <x v="74"/>
  </r>
  <r>
    <x v="0"/>
    <x v="0"/>
    <x v="9"/>
    <x v="7"/>
    <x v="0"/>
    <x v="1"/>
    <x v="75"/>
    <x v="75"/>
    <x v="74"/>
    <x v="75"/>
    <x v="9"/>
    <x v="9"/>
    <x v="75"/>
    <x v="75"/>
    <x v="75"/>
  </r>
  <r>
    <x v="1"/>
    <x v="20"/>
    <x v="1"/>
    <x v="9"/>
    <x v="0"/>
    <x v="1"/>
    <x v="76"/>
    <x v="76"/>
    <x v="75"/>
    <x v="76"/>
    <x v="1"/>
    <x v="1"/>
    <x v="76"/>
    <x v="76"/>
    <x v="76"/>
  </r>
  <r>
    <x v="1"/>
    <x v="24"/>
    <x v="7"/>
    <x v="11"/>
    <x v="1"/>
    <x v="3"/>
    <x v="77"/>
    <x v="77"/>
    <x v="76"/>
    <x v="77"/>
    <x v="7"/>
    <x v="7"/>
    <x v="77"/>
    <x v="77"/>
    <x v="77"/>
  </r>
  <r>
    <x v="4"/>
    <x v="5"/>
    <x v="6"/>
    <x v="12"/>
    <x v="0"/>
    <x v="2"/>
    <x v="78"/>
    <x v="78"/>
    <x v="77"/>
    <x v="78"/>
    <x v="6"/>
    <x v="6"/>
    <x v="78"/>
    <x v="78"/>
    <x v="78"/>
  </r>
  <r>
    <x v="0"/>
    <x v="7"/>
    <x v="2"/>
    <x v="15"/>
    <x v="1"/>
    <x v="0"/>
    <x v="79"/>
    <x v="79"/>
    <x v="78"/>
    <x v="79"/>
    <x v="2"/>
    <x v="2"/>
    <x v="79"/>
    <x v="79"/>
    <x v="79"/>
  </r>
  <r>
    <x v="5"/>
    <x v="12"/>
    <x v="3"/>
    <x v="7"/>
    <x v="1"/>
    <x v="3"/>
    <x v="69"/>
    <x v="80"/>
    <x v="79"/>
    <x v="80"/>
    <x v="3"/>
    <x v="3"/>
    <x v="80"/>
    <x v="80"/>
    <x v="80"/>
  </r>
  <r>
    <x v="3"/>
    <x v="3"/>
    <x v="8"/>
    <x v="14"/>
    <x v="1"/>
    <x v="2"/>
    <x v="80"/>
    <x v="81"/>
    <x v="80"/>
    <x v="81"/>
    <x v="8"/>
    <x v="8"/>
    <x v="81"/>
    <x v="81"/>
    <x v="81"/>
  </r>
  <r>
    <x v="2"/>
    <x v="23"/>
    <x v="6"/>
    <x v="15"/>
    <x v="1"/>
    <x v="1"/>
    <x v="81"/>
    <x v="82"/>
    <x v="81"/>
    <x v="82"/>
    <x v="6"/>
    <x v="6"/>
    <x v="82"/>
    <x v="82"/>
    <x v="82"/>
  </r>
  <r>
    <x v="5"/>
    <x v="10"/>
    <x v="8"/>
    <x v="11"/>
    <x v="0"/>
    <x v="1"/>
    <x v="82"/>
    <x v="83"/>
    <x v="82"/>
    <x v="83"/>
    <x v="8"/>
    <x v="8"/>
    <x v="83"/>
    <x v="83"/>
    <x v="83"/>
  </r>
  <r>
    <x v="6"/>
    <x v="21"/>
    <x v="1"/>
    <x v="13"/>
    <x v="1"/>
    <x v="1"/>
    <x v="83"/>
    <x v="84"/>
    <x v="83"/>
    <x v="84"/>
    <x v="1"/>
    <x v="1"/>
    <x v="84"/>
    <x v="84"/>
    <x v="84"/>
  </r>
  <r>
    <x v="4"/>
    <x v="5"/>
    <x v="6"/>
    <x v="5"/>
    <x v="0"/>
    <x v="3"/>
    <x v="84"/>
    <x v="85"/>
    <x v="84"/>
    <x v="85"/>
    <x v="6"/>
    <x v="6"/>
    <x v="85"/>
    <x v="85"/>
    <x v="85"/>
  </r>
  <r>
    <x v="5"/>
    <x v="6"/>
    <x v="0"/>
    <x v="1"/>
    <x v="1"/>
    <x v="3"/>
    <x v="85"/>
    <x v="86"/>
    <x v="24"/>
    <x v="86"/>
    <x v="0"/>
    <x v="0"/>
    <x v="86"/>
    <x v="86"/>
    <x v="86"/>
  </r>
  <r>
    <x v="3"/>
    <x v="3"/>
    <x v="7"/>
    <x v="9"/>
    <x v="1"/>
    <x v="2"/>
    <x v="86"/>
    <x v="87"/>
    <x v="85"/>
    <x v="87"/>
    <x v="7"/>
    <x v="7"/>
    <x v="87"/>
    <x v="87"/>
    <x v="87"/>
  </r>
  <r>
    <x v="6"/>
    <x v="14"/>
    <x v="3"/>
    <x v="2"/>
    <x v="1"/>
    <x v="0"/>
    <x v="83"/>
    <x v="88"/>
    <x v="86"/>
    <x v="88"/>
    <x v="3"/>
    <x v="3"/>
    <x v="88"/>
    <x v="88"/>
    <x v="88"/>
  </r>
  <r>
    <x v="2"/>
    <x v="2"/>
    <x v="3"/>
    <x v="16"/>
    <x v="0"/>
    <x v="2"/>
    <x v="87"/>
    <x v="89"/>
    <x v="87"/>
    <x v="89"/>
    <x v="3"/>
    <x v="3"/>
    <x v="89"/>
    <x v="89"/>
    <x v="89"/>
  </r>
  <r>
    <x v="5"/>
    <x v="10"/>
    <x v="2"/>
    <x v="18"/>
    <x v="1"/>
    <x v="0"/>
    <x v="88"/>
    <x v="90"/>
    <x v="88"/>
    <x v="90"/>
    <x v="2"/>
    <x v="2"/>
    <x v="90"/>
    <x v="90"/>
    <x v="90"/>
  </r>
  <r>
    <x v="3"/>
    <x v="3"/>
    <x v="8"/>
    <x v="18"/>
    <x v="0"/>
    <x v="3"/>
    <x v="89"/>
    <x v="91"/>
    <x v="89"/>
    <x v="1"/>
    <x v="8"/>
    <x v="8"/>
    <x v="91"/>
    <x v="91"/>
    <x v="91"/>
  </r>
  <r>
    <x v="3"/>
    <x v="3"/>
    <x v="3"/>
    <x v="9"/>
    <x v="1"/>
    <x v="0"/>
    <x v="90"/>
    <x v="92"/>
    <x v="90"/>
    <x v="91"/>
    <x v="3"/>
    <x v="3"/>
    <x v="92"/>
    <x v="92"/>
    <x v="92"/>
  </r>
  <r>
    <x v="4"/>
    <x v="18"/>
    <x v="3"/>
    <x v="7"/>
    <x v="0"/>
    <x v="2"/>
    <x v="91"/>
    <x v="93"/>
    <x v="91"/>
    <x v="92"/>
    <x v="3"/>
    <x v="3"/>
    <x v="93"/>
    <x v="93"/>
    <x v="93"/>
  </r>
  <r>
    <x v="6"/>
    <x v="14"/>
    <x v="5"/>
    <x v="5"/>
    <x v="1"/>
    <x v="3"/>
    <x v="92"/>
    <x v="94"/>
    <x v="92"/>
    <x v="93"/>
    <x v="5"/>
    <x v="5"/>
    <x v="94"/>
    <x v="94"/>
    <x v="94"/>
  </r>
  <r>
    <x v="6"/>
    <x v="15"/>
    <x v="2"/>
    <x v="8"/>
    <x v="0"/>
    <x v="0"/>
    <x v="93"/>
    <x v="95"/>
    <x v="93"/>
    <x v="94"/>
    <x v="2"/>
    <x v="2"/>
    <x v="95"/>
    <x v="95"/>
    <x v="95"/>
  </r>
  <r>
    <x v="3"/>
    <x v="3"/>
    <x v="9"/>
    <x v="9"/>
    <x v="0"/>
    <x v="1"/>
    <x v="94"/>
    <x v="96"/>
    <x v="94"/>
    <x v="95"/>
    <x v="9"/>
    <x v="9"/>
    <x v="96"/>
    <x v="96"/>
    <x v="96"/>
  </r>
  <r>
    <x v="0"/>
    <x v="16"/>
    <x v="0"/>
    <x v="8"/>
    <x v="0"/>
    <x v="3"/>
    <x v="95"/>
    <x v="97"/>
    <x v="95"/>
    <x v="96"/>
    <x v="0"/>
    <x v="0"/>
    <x v="97"/>
    <x v="97"/>
    <x v="97"/>
  </r>
  <r>
    <x v="5"/>
    <x v="10"/>
    <x v="5"/>
    <x v="13"/>
    <x v="1"/>
    <x v="3"/>
    <x v="96"/>
    <x v="98"/>
    <x v="96"/>
    <x v="97"/>
    <x v="5"/>
    <x v="5"/>
    <x v="98"/>
    <x v="98"/>
    <x v="98"/>
  </r>
  <r>
    <x v="6"/>
    <x v="21"/>
    <x v="0"/>
    <x v="14"/>
    <x v="0"/>
    <x v="0"/>
    <x v="97"/>
    <x v="99"/>
    <x v="97"/>
    <x v="98"/>
    <x v="0"/>
    <x v="0"/>
    <x v="99"/>
    <x v="99"/>
    <x v="99"/>
  </r>
  <r>
    <x v="5"/>
    <x v="12"/>
    <x v="9"/>
    <x v="16"/>
    <x v="1"/>
    <x v="3"/>
    <x v="98"/>
    <x v="100"/>
    <x v="98"/>
    <x v="99"/>
    <x v="9"/>
    <x v="9"/>
    <x v="100"/>
    <x v="100"/>
    <x v="100"/>
  </r>
  <r>
    <x v="2"/>
    <x v="23"/>
    <x v="9"/>
    <x v="9"/>
    <x v="1"/>
    <x v="3"/>
    <x v="99"/>
    <x v="101"/>
    <x v="99"/>
    <x v="100"/>
    <x v="9"/>
    <x v="9"/>
    <x v="101"/>
    <x v="101"/>
    <x v="101"/>
  </r>
  <r>
    <x v="2"/>
    <x v="23"/>
    <x v="7"/>
    <x v="11"/>
    <x v="1"/>
    <x v="0"/>
    <x v="100"/>
    <x v="102"/>
    <x v="100"/>
    <x v="101"/>
    <x v="7"/>
    <x v="7"/>
    <x v="102"/>
    <x v="102"/>
    <x v="102"/>
  </r>
  <r>
    <x v="6"/>
    <x v="15"/>
    <x v="7"/>
    <x v="8"/>
    <x v="0"/>
    <x v="1"/>
    <x v="101"/>
    <x v="103"/>
    <x v="101"/>
    <x v="102"/>
    <x v="7"/>
    <x v="7"/>
    <x v="103"/>
    <x v="103"/>
    <x v="103"/>
  </r>
  <r>
    <x v="4"/>
    <x v="5"/>
    <x v="1"/>
    <x v="9"/>
    <x v="1"/>
    <x v="2"/>
    <x v="102"/>
    <x v="104"/>
    <x v="102"/>
    <x v="103"/>
    <x v="1"/>
    <x v="1"/>
    <x v="104"/>
    <x v="104"/>
    <x v="104"/>
  </r>
  <r>
    <x v="3"/>
    <x v="9"/>
    <x v="5"/>
    <x v="2"/>
    <x v="0"/>
    <x v="3"/>
    <x v="103"/>
    <x v="105"/>
    <x v="103"/>
    <x v="104"/>
    <x v="5"/>
    <x v="5"/>
    <x v="105"/>
    <x v="105"/>
    <x v="105"/>
  </r>
  <r>
    <x v="1"/>
    <x v="17"/>
    <x v="3"/>
    <x v="9"/>
    <x v="1"/>
    <x v="2"/>
    <x v="104"/>
    <x v="106"/>
    <x v="104"/>
    <x v="105"/>
    <x v="3"/>
    <x v="3"/>
    <x v="106"/>
    <x v="106"/>
    <x v="106"/>
  </r>
  <r>
    <x v="3"/>
    <x v="19"/>
    <x v="2"/>
    <x v="20"/>
    <x v="0"/>
    <x v="1"/>
    <x v="105"/>
    <x v="107"/>
    <x v="105"/>
    <x v="106"/>
    <x v="2"/>
    <x v="2"/>
    <x v="107"/>
    <x v="107"/>
    <x v="107"/>
  </r>
  <r>
    <x v="4"/>
    <x v="18"/>
    <x v="6"/>
    <x v="14"/>
    <x v="0"/>
    <x v="3"/>
    <x v="106"/>
    <x v="108"/>
    <x v="106"/>
    <x v="107"/>
    <x v="6"/>
    <x v="6"/>
    <x v="108"/>
    <x v="108"/>
    <x v="108"/>
  </r>
  <r>
    <x v="6"/>
    <x v="14"/>
    <x v="8"/>
    <x v="15"/>
    <x v="1"/>
    <x v="1"/>
    <x v="107"/>
    <x v="109"/>
    <x v="107"/>
    <x v="108"/>
    <x v="8"/>
    <x v="8"/>
    <x v="109"/>
    <x v="109"/>
    <x v="109"/>
  </r>
  <r>
    <x v="4"/>
    <x v="5"/>
    <x v="8"/>
    <x v="19"/>
    <x v="1"/>
    <x v="0"/>
    <x v="108"/>
    <x v="110"/>
    <x v="108"/>
    <x v="109"/>
    <x v="8"/>
    <x v="8"/>
    <x v="110"/>
    <x v="110"/>
    <x v="110"/>
  </r>
  <r>
    <x v="6"/>
    <x v="21"/>
    <x v="8"/>
    <x v="20"/>
    <x v="0"/>
    <x v="0"/>
    <x v="109"/>
    <x v="111"/>
    <x v="109"/>
    <x v="110"/>
    <x v="8"/>
    <x v="8"/>
    <x v="111"/>
    <x v="111"/>
    <x v="111"/>
  </r>
  <r>
    <x v="6"/>
    <x v="21"/>
    <x v="4"/>
    <x v="16"/>
    <x v="1"/>
    <x v="0"/>
    <x v="110"/>
    <x v="112"/>
    <x v="110"/>
    <x v="111"/>
    <x v="4"/>
    <x v="4"/>
    <x v="112"/>
    <x v="112"/>
    <x v="112"/>
  </r>
  <r>
    <x v="0"/>
    <x v="7"/>
    <x v="4"/>
    <x v="12"/>
    <x v="1"/>
    <x v="2"/>
    <x v="111"/>
    <x v="113"/>
    <x v="111"/>
    <x v="112"/>
    <x v="4"/>
    <x v="4"/>
    <x v="113"/>
    <x v="113"/>
    <x v="113"/>
  </r>
  <r>
    <x v="5"/>
    <x v="12"/>
    <x v="5"/>
    <x v="19"/>
    <x v="0"/>
    <x v="2"/>
    <x v="112"/>
    <x v="114"/>
    <x v="112"/>
    <x v="113"/>
    <x v="5"/>
    <x v="5"/>
    <x v="114"/>
    <x v="114"/>
    <x v="114"/>
  </r>
  <r>
    <x v="3"/>
    <x v="19"/>
    <x v="2"/>
    <x v="17"/>
    <x v="1"/>
    <x v="0"/>
    <x v="113"/>
    <x v="115"/>
    <x v="113"/>
    <x v="114"/>
    <x v="2"/>
    <x v="2"/>
    <x v="115"/>
    <x v="115"/>
    <x v="115"/>
  </r>
  <r>
    <x v="5"/>
    <x v="11"/>
    <x v="0"/>
    <x v="6"/>
    <x v="0"/>
    <x v="1"/>
    <x v="114"/>
    <x v="116"/>
    <x v="114"/>
    <x v="115"/>
    <x v="0"/>
    <x v="0"/>
    <x v="116"/>
    <x v="116"/>
    <x v="116"/>
  </r>
  <r>
    <x v="5"/>
    <x v="12"/>
    <x v="0"/>
    <x v="9"/>
    <x v="1"/>
    <x v="3"/>
    <x v="115"/>
    <x v="117"/>
    <x v="115"/>
    <x v="116"/>
    <x v="0"/>
    <x v="0"/>
    <x v="117"/>
    <x v="117"/>
    <x v="117"/>
  </r>
  <r>
    <x v="4"/>
    <x v="5"/>
    <x v="0"/>
    <x v="8"/>
    <x v="1"/>
    <x v="3"/>
    <x v="116"/>
    <x v="118"/>
    <x v="116"/>
    <x v="117"/>
    <x v="0"/>
    <x v="0"/>
    <x v="118"/>
    <x v="118"/>
    <x v="118"/>
  </r>
  <r>
    <x v="1"/>
    <x v="4"/>
    <x v="4"/>
    <x v="16"/>
    <x v="0"/>
    <x v="1"/>
    <x v="117"/>
    <x v="119"/>
    <x v="117"/>
    <x v="118"/>
    <x v="4"/>
    <x v="4"/>
    <x v="119"/>
    <x v="119"/>
    <x v="119"/>
  </r>
  <r>
    <x v="0"/>
    <x v="0"/>
    <x v="7"/>
    <x v="8"/>
    <x v="1"/>
    <x v="2"/>
    <x v="118"/>
    <x v="120"/>
    <x v="118"/>
    <x v="119"/>
    <x v="7"/>
    <x v="7"/>
    <x v="120"/>
    <x v="120"/>
    <x v="120"/>
  </r>
  <r>
    <x v="0"/>
    <x v="0"/>
    <x v="2"/>
    <x v="21"/>
    <x v="1"/>
    <x v="0"/>
    <x v="119"/>
    <x v="121"/>
    <x v="119"/>
    <x v="120"/>
    <x v="2"/>
    <x v="2"/>
    <x v="121"/>
    <x v="121"/>
    <x v="121"/>
  </r>
  <r>
    <x v="3"/>
    <x v="3"/>
    <x v="6"/>
    <x v="16"/>
    <x v="1"/>
    <x v="1"/>
    <x v="120"/>
    <x v="122"/>
    <x v="120"/>
    <x v="121"/>
    <x v="6"/>
    <x v="6"/>
    <x v="122"/>
    <x v="122"/>
    <x v="122"/>
  </r>
  <r>
    <x v="6"/>
    <x v="14"/>
    <x v="9"/>
    <x v="6"/>
    <x v="0"/>
    <x v="1"/>
    <x v="121"/>
    <x v="123"/>
    <x v="121"/>
    <x v="122"/>
    <x v="9"/>
    <x v="9"/>
    <x v="123"/>
    <x v="123"/>
    <x v="123"/>
  </r>
  <r>
    <x v="5"/>
    <x v="10"/>
    <x v="9"/>
    <x v="17"/>
    <x v="0"/>
    <x v="3"/>
    <x v="122"/>
    <x v="124"/>
    <x v="122"/>
    <x v="123"/>
    <x v="9"/>
    <x v="9"/>
    <x v="124"/>
    <x v="124"/>
    <x v="124"/>
  </r>
  <r>
    <x v="0"/>
    <x v="7"/>
    <x v="0"/>
    <x v="19"/>
    <x v="1"/>
    <x v="2"/>
    <x v="123"/>
    <x v="125"/>
    <x v="123"/>
    <x v="124"/>
    <x v="0"/>
    <x v="0"/>
    <x v="125"/>
    <x v="125"/>
    <x v="125"/>
  </r>
  <r>
    <x v="1"/>
    <x v="20"/>
    <x v="0"/>
    <x v="19"/>
    <x v="1"/>
    <x v="1"/>
    <x v="124"/>
    <x v="126"/>
    <x v="124"/>
    <x v="125"/>
    <x v="0"/>
    <x v="0"/>
    <x v="126"/>
    <x v="126"/>
    <x v="126"/>
  </r>
  <r>
    <x v="6"/>
    <x v="21"/>
    <x v="9"/>
    <x v="19"/>
    <x v="0"/>
    <x v="2"/>
    <x v="125"/>
    <x v="127"/>
    <x v="125"/>
    <x v="126"/>
    <x v="9"/>
    <x v="9"/>
    <x v="127"/>
    <x v="127"/>
    <x v="127"/>
  </r>
  <r>
    <x v="3"/>
    <x v="19"/>
    <x v="2"/>
    <x v="19"/>
    <x v="1"/>
    <x v="0"/>
    <x v="126"/>
    <x v="128"/>
    <x v="126"/>
    <x v="127"/>
    <x v="2"/>
    <x v="2"/>
    <x v="128"/>
    <x v="128"/>
    <x v="128"/>
  </r>
  <r>
    <x v="1"/>
    <x v="13"/>
    <x v="3"/>
    <x v="1"/>
    <x v="1"/>
    <x v="3"/>
    <x v="127"/>
    <x v="129"/>
    <x v="127"/>
    <x v="128"/>
    <x v="3"/>
    <x v="3"/>
    <x v="129"/>
    <x v="129"/>
    <x v="129"/>
  </r>
  <r>
    <x v="1"/>
    <x v="17"/>
    <x v="6"/>
    <x v="10"/>
    <x v="1"/>
    <x v="3"/>
    <x v="128"/>
    <x v="130"/>
    <x v="128"/>
    <x v="129"/>
    <x v="6"/>
    <x v="6"/>
    <x v="130"/>
    <x v="130"/>
    <x v="130"/>
  </r>
  <r>
    <x v="4"/>
    <x v="18"/>
    <x v="0"/>
    <x v="18"/>
    <x v="0"/>
    <x v="2"/>
    <x v="129"/>
    <x v="131"/>
    <x v="129"/>
    <x v="130"/>
    <x v="0"/>
    <x v="0"/>
    <x v="131"/>
    <x v="131"/>
    <x v="131"/>
  </r>
  <r>
    <x v="4"/>
    <x v="5"/>
    <x v="8"/>
    <x v="3"/>
    <x v="1"/>
    <x v="3"/>
    <x v="130"/>
    <x v="132"/>
    <x v="130"/>
    <x v="131"/>
    <x v="8"/>
    <x v="8"/>
    <x v="132"/>
    <x v="132"/>
    <x v="132"/>
  </r>
  <r>
    <x v="1"/>
    <x v="17"/>
    <x v="4"/>
    <x v="6"/>
    <x v="1"/>
    <x v="1"/>
    <x v="131"/>
    <x v="133"/>
    <x v="131"/>
    <x v="132"/>
    <x v="4"/>
    <x v="4"/>
    <x v="133"/>
    <x v="133"/>
    <x v="133"/>
  </r>
  <r>
    <x v="2"/>
    <x v="8"/>
    <x v="5"/>
    <x v="1"/>
    <x v="0"/>
    <x v="3"/>
    <x v="132"/>
    <x v="134"/>
    <x v="132"/>
    <x v="133"/>
    <x v="5"/>
    <x v="5"/>
    <x v="134"/>
    <x v="134"/>
    <x v="134"/>
  </r>
  <r>
    <x v="4"/>
    <x v="18"/>
    <x v="3"/>
    <x v="15"/>
    <x v="0"/>
    <x v="2"/>
    <x v="133"/>
    <x v="135"/>
    <x v="133"/>
    <x v="134"/>
    <x v="3"/>
    <x v="3"/>
    <x v="135"/>
    <x v="135"/>
    <x v="135"/>
  </r>
  <r>
    <x v="3"/>
    <x v="19"/>
    <x v="8"/>
    <x v="7"/>
    <x v="1"/>
    <x v="3"/>
    <x v="134"/>
    <x v="136"/>
    <x v="134"/>
    <x v="135"/>
    <x v="8"/>
    <x v="8"/>
    <x v="136"/>
    <x v="136"/>
    <x v="136"/>
  </r>
  <r>
    <x v="1"/>
    <x v="13"/>
    <x v="8"/>
    <x v="8"/>
    <x v="1"/>
    <x v="0"/>
    <x v="135"/>
    <x v="137"/>
    <x v="135"/>
    <x v="136"/>
    <x v="8"/>
    <x v="8"/>
    <x v="137"/>
    <x v="137"/>
    <x v="137"/>
  </r>
  <r>
    <x v="1"/>
    <x v="24"/>
    <x v="5"/>
    <x v="9"/>
    <x v="0"/>
    <x v="0"/>
    <x v="136"/>
    <x v="138"/>
    <x v="136"/>
    <x v="137"/>
    <x v="5"/>
    <x v="5"/>
    <x v="138"/>
    <x v="138"/>
    <x v="138"/>
  </r>
  <r>
    <x v="6"/>
    <x v="21"/>
    <x v="5"/>
    <x v="7"/>
    <x v="0"/>
    <x v="1"/>
    <x v="137"/>
    <x v="139"/>
    <x v="137"/>
    <x v="138"/>
    <x v="5"/>
    <x v="5"/>
    <x v="139"/>
    <x v="139"/>
    <x v="139"/>
  </r>
  <r>
    <x v="4"/>
    <x v="5"/>
    <x v="3"/>
    <x v="14"/>
    <x v="0"/>
    <x v="2"/>
    <x v="138"/>
    <x v="140"/>
    <x v="138"/>
    <x v="139"/>
    <x v="3"/>
    <x v="3"/>
    <x v="140"/>
    <x v="140"/>
    <x v="140"/>
  </r>
  <r>
    <x v="1"/>
    <x v="4"/>
    <x v="1"/>
    <x v="0"/>
    <x v="1"/>
    <x v="0"/>
    <x v="139"/>
    <x v="141"/>
    <x v="139"/>
    <x v="140"/>
    <x v="1"/>
    <x v="1"/>
    <x v="141"/>
    <x v="141"/>
    <x v="141"/>
  </r>
  <r>
    <x v="3"/>
    <x v="9"/>
    <x v="6"/>
    <x v="0"/>
    <x v="1"/>
    <x v="3"/>
    <x v="112"/>
    <x v="142"/>
    <x v="140"/>
    <x v="141"/>
    <x v="6"/>
    <x v="6"/>
    <x v="142"/>
    <x v="142"/>
    <x v="142"/>
  </r>
  <r>
    <x v="3"/>
    <x v="9"/>
    <x v="8"/>
    <x v="17"/>
    <x v="0"/>
    <x v="0"/>
    <x v="140"/>
    <x v="143"/>
    <x v="141"/>
    <x v="142"/>
    <x v="8"/>
    <x v="8"/>
    <x v="143"/>
    <x v="143"/>
    <x v="143"/>
  </r>
  <r>
    <x v="6"/>
    <x v="21"/>
    <x v="4"/>
    <x v="5"/>
    <x v="1"/>
    <x v="3"/>
    <x v="141"/>
    <x v="144"/>
    <x v="142"/>
    <x v="143"/>
    <x v="4"/>
    <x v="4"/>
    <x v="144"/>
    <x v="144"/>
    <x v="144"/>
  </r>
  <r>
    <x v="2"/>
    <x v="2"/>
    <x v="2"/>
    <x v="15"/>
    <x v="0"/>
    <x v="1"/>
    <x v="142"/>
    <x v="145"/>
    <x v="143"/>
    <x v="144"/>
    <x v="2"/>
    <x v="2"/>
    <x v="145"/>
    <x v="145"/>
    <x v="145"/>
  </r>
  <r>
    <x v="1"/>
    <x v="17"/>
    <x v="0"/>
    <x v="11"/>
    <x v="0"/>
    <x v="3"/>
    <x v="143"/>
    <x v="146"/>
    <x v="144"/>
    <x v="145"/>
    <x v="0"/>
    <x v="0"/>
    <x v="146"/>
    <x v="146"/>
    <x v="146"/>
  </r>
  <r>
    <x v="3"/>
    <x v="19"/>
    <x v="9"/>
    <x v="15"/>
    <x v="1"/>
    <x v="3"/>
    <x v="20"/>
    <x v="147"/>
    <x v="20"/>
    <x v="146"/>
    <x v="9"/>
    <x v="9"/>
    <x v="147"/>
    <x v="147"/>
    <x v="147"/>
  </r>
  <r>
    <x v="0"/>
    <x v="0"/>
    <x v="0"/>
    <x v="19"/>
    <x v="1"/>
    <x v="3"/>
    <x v="144"/>
    <x v="148"/>
    <x v="145"/>
    <x v="147"/>
    <x v="0"/>
    <x v="0"/>
    <x v="148"/>
    <x v="148"/>
    <x v="148"/>
  </r>
  <r>
    <x v="4"/>
    <x v="18"/>
    <x v="9"/>
    <x v="17"/>
    <x v="0"/>
    <x v="0"/>
    <x v="145"/>
    <x v="149"/>
    <x v="146"/>
    <x v="148"/>
    <x v="9"/>
    <x v="9"/>
    <x v="149"/>
    <x v="149"/>
    <x v="149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50">
  <r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1"/>
    <x v="1"/>
    <x v="1"/>
    <x v="1"/>
    <x v="1"/>
    <x v="0"/>
    <x v="0"/>
    <x v="1"/>
    <x v="1"/>
    <x v="1"/>
  </r>
  <r>
    <x v="2"/>
    <x v="2"/>
    <x v="1"/>
    <x v="2"/>
    <x v="1"/>
    <x v="0"/>
    <x v="2"/>
    <x v="2"/>
    <x v="2"/>
    <x v="2"/>
    <x v="1"/>
    <x v="1"/>
    <x v="2"/>
    <x v="2"/>
    <x v="2"/>
  </r>
  <r>
    <x v="3"/>
    <x v="3"/>
    <x v="2"/>
    <x v="3"/>
    <x v="0"/>
    <x v="0"/>
    <x v="3"/>
    <x v="3"/>
    <x v="3"/>
    <x v="3"/>
    <x v="2"/>
    <x v="2"/>
    <x v="3"/>
    <x v="3"/>
    <x v="3"/>
  </r>
  <r>
    <x v="0"/>
    <x v="0"/>
    <x v="3"/>
    <x v="4"/>
    <x v="1"/>
    <x v="2"/>
    <x v="4"/>
    <x v="4"/>
    <x v="4"/>
    <x v="4"/>
    <x v="3"/>
    <x v="3"/>
    <x v="4"/>
    <x v="4"/>
    <x v="4"/>
  </r>
  <r>
    <x v="1"/>
    <x v="4"/>
    <x v="4"/>
    <x v="5"/>
    <x v="1"/>
    <x v="3"/>
    <x v="5"/>
    <x v="5"/>
    <x v="5"/>
    <x v="5"/>
    <x v="4"/>
    <x v="4"/>
    <x v="5"/>
    <x v="5"/>
    <x v="5"/>
  </r>
  <r>
    <x v="4"/>
    <x v="5"/>
    <x v="4"/>
    <x v="6"/>
    <x v="1"/>
    <x v="2"/>
    <x v="6"/>
    <x v="6"/>
    <x v="6"/>
    <x v="6"/>
    <x v="4"/>
    <x v="4"/>
    <x v="6"/>
    <x v="6"/>
    <x v="6"/>
  </r>
  <r>
    <x v="4"/>
    <x v="5"/>
    <x v="5"/>
    <x v="2"/>
    <x v="1"/>
    <x v="0"/>
    <x v="7"/>
    <x v="7"/>
    <x v="7"/>
    <x v="7"/>
    <x v="5"/>
    <x v="5"/>
    <x v="7"/>
    <x v="7"/>
    <x v="7"/>
  </r>
  <r>
    <x v="0"/>
    <x v="0"/>
    <x v="0"/>
    <x v="0"/>
    <x v="1"/>
    <x v="1"/>
    <x v="8"/>
    <x v="8"/>
    <x v="8"/>
    <x v="8"/>
    <x v="0"/>
    <x v="0"/>
    <x v="8"/>
    <x v="8"/>
    <x v="8"/>
  </r>
  <r>
    <x v="5"/>
    <x v="6"/>
    <x v="3"/>
    <x v="5"/>
    <x v="0"/>
    <x v="1"/>
    <x v="9"/>
    <x v="9"/>
    <x v="9"/>
    <x v="9"/>
    <x v="3"/>
    <x v="3"/>
    <x v="9"/>
    <x v="9"/>
    <x v="9"/>
  </r>
  <r>
    <x v="0"/>
    <x v="7"/>
    <x v="6"/>
    <x v="7"/>
    <x v="1"/>
    <x v="3"/>
    <x v="10"/>
    <x v="10"/>
    <x v="10"/>
    <x v="10"/>
    <x v="6"/>
    <x v="6"/>
    <x v="10"/>
    <x v="10"/>
    <x v="10"/>
  </r>
  <r>
    <x v="2"/>
    <x v="8"/>
    <x v="2"/>
    <x v="8"/>
    <x v="1"/>
    <x v="3"/>
    <x v="11"/>
    <x v="11"/>
    <x v="11"/>
    <x v="11"/>
    <x v="2"/>
    <x v="2"/>
    <x v="11"/>
    <x v="11"/>
    <x v="11"/>
  </r>
  <r>
    <x v="0"/>
    <x v="7"/>
    <x v="0"/>
    <x v="9"/>
    <x v="0"/>
    <x v="2"/>
    <x v="12"/>
    <x v="12"/>
    <x v="12"/>
    <x v="12"/>
    <x v="0"/>
    <x v="0"/>
    <x v="12"/>
    <x v="12"/>
    <x v="12"/>
  </r>
  <r>
    <x v="3"/>
    <x v="9"/>
    <x v="6"/>
    <x v="10"/>
    <x v="0"/>
    <x v="0"/>
    <x v="13"/>
    <x v="13"/>
    <x v="13"/>
    <x v="13"/>
    <x v="6"/>
    <x v="6"/>
    <x v="13"/>
    <x v="13"/>
    <x v="13"/>
  </r>
  <r>
    <x v="0"/>
    <x v="7"/>
    <x v="2"/>
    <x v="11"/>
    <x v="1"/>
    <x v="1"/>
    <x v="14"/>
    <x v="14"/>
    <x v="14"/>
    <x v="14"/>
    <x v="2"/>
    <x v="2"/>
    <x v="14"/>
    <x v="14"/>
    <x v="14"/>
  </r>
  <r>
    <x v="5"/>
    <x v="10"/>
    <x v="7"/>
    <x v="4"/>
    <x v="0"/>
    <x v="3"/>
    <x v="15"/>
    <x v="15"/>
    <x v="15"/>
    <x v="15"/>
    <x v="7"/>
    <x v="7"/>
    <x v="15"/>
    <x v="15"/>
    <x v="15"/>
  </r>
  <r>
    <x v="5"/>
    <x v="11"/>
    <x v="2"/>
    <x v="12"/>
    <x v="1"/>
    <x v="1"/>
    <x v="16"/>
    <x v="16"/>
    <x v="16"/>
    <x v="16"/>
    <x v="2"/>
    <x v="2"/>
    <x v="16"/>
    <x v="16"/>
    <x v="16"/>
  </r>
  <r>
    <x v="5"/>
    <x v="10"/>
    <x v="2"/>
    <x v="4"/>
    <x v="1"/>
    <x v="1"/>
    <x v="17"/>
    <x v="17"/>
    <x v="17"/>
    <x v="17"/>
    <x v="2"/>
    <x v="2"/>
    <x v="17"/>
    <x v="17"/>
    <x v="17"/>
  </r>
  <r>
    <x v="5"/>
    <x v="12"/>
    <x v="3"/>
    <x v="1"/>
    <x v="0"/>
    <x v="0"/>
    <x v="18"/>
    <x v="18"/>
    <x v="18"/>
    <x v="18"/>
    <x v="3"/>
    <x v="3"/>
    <x v="18"/>
    <x v="18"/>
    <x v="18"/>
  </r>
  <r>
    <x v="1"/>
    <x v="13"/>
    <x v="6"/>
    <x v="11"/>
    <x v="1"/>
    <x v="2"/>
    <x v="19"/>
    <x v="19"/>
    <x v="19"/>
    <x v="19"/>
    <x v="6"/>
    <x v="6"/>
    <x v="19"/>
    <x v="19"/>
    <x v="19"/>
  </r>
  <r>
    <x v="6"/>
    <x v="14"/>
    <x v="1"/>
    <x v="13"/>
    <x v="1"/>
    <x v="0"/>
    <x v="20"/>
    <x v="20"/>
    <x v="20"/>
    <x v="20"/>
    <x v="1"/>
    <x v="1"/>
    <x v="20"/>
    <x v="20"/>
    <x v="20"/>
  </r>
  <r>
    <x v="5"/>
    <x v="10"/>
    <x v="8"/>
    <x v="9"/>
    <x v="1"/>
    <x v="1"/>
    <x v="21"/>
    <x v="21"/>
    <x v="21"/>
    <x v="21"/>
    <x v="8"/>
    <x v="8"/>
    <x v="21"/>
    <x v="21"/>
    <x v="21"/>
  </r>
  <r>
    <x v="1"/>
    <x v="1"/>
    <x v="2"/>
    <x v="14"/>
    <x v="1"/>
    <x v="3"/>
    <x v="22"/>
    <x v="22"/>
    <x v="22"/>
    <x v="22"/>
    <x v="2"/>
    <x v="2"/>
    <x v="22"/>
    <x v="22"/>
    <x v="22"/>
  </r>
  <r>
    <x v="6"/>
    <x v="15"/>
    <x v="9"/>
    <x v="9"/>
    <x v="1"/>
    <x v="0"/>
    <x v="23"/>
    <x v="23"/>
    <x v="23"/>
    <x v="23"/>
    <x v="9"/>
    <x v="9"/>
    <x v="23"/>
    <x v="23"/>
    <x v="23"/>
  </r>
  <r>
    <x v="6"/>
    <x v="14"/>
    <x v="9"/>
    <x v="3"/>
    <x v="0"/>
    <x v="3"/>
    <x v="24"/>
    <x v="24"/>
    <x v="24"/>
    <x v="24"/>
    <x v="9"/>
    <x v="9"/>
    <x v="24"/>
    <x v="24"/>
    <x v="24"/>
  </r>
  <r>
    <x v="3"/>
    <x v="3"/>
    <x v="6"/>
    <x v="13"/>
    <x v="1"/>
    <x v="3"/>
    <x v="25"/>
    <x v="25"/>
    <x v="25"/>
    <x v="25"/>
    <x v="6"/>
    <x v="6"/>
    <x v="25"/>
    <x v="25"/>
    <x v="25"/>
  </r>
  <r>
    <x v="0"/>
    <x v="16"/>
    <x v="0"/>
    <x v="10"/>
    <x v="0"/>
    <x v="2"/>
    <x v="26"/>
    <x v="26"/>
    <x v="26"/>
    <x v="26"/>
    <x v="0"/>
    <x v="0"/>
    <x v="26"/>
    <x v="26"/>
    <x v="26"/>
  </r>
  <r>
    <x v="2"/>
    <x v="8"/>
    <x v="8"/>
    <x v="3"/>
    <x v="1"/>
    <x v="2"/>
    <x v="27"/>
    <x v="27"/>
    <x v="27"/>
    <x v="27"/>
    <x v="8"/>
    <x v="8"/>
    <x v="27"/>
    <x v="27"/>
    <x v="27"/>
  </r>
  <r>
    <x v="1"/>
    <x v="17"/>
    <x v="8"/>
    <x v="8"/>
    <x v="0"/>
    <x v="3"/>
    <x v="28"/>
    <x v="28"/>
    <x v="28"/>
    <x v="28"/>
    <x v="8"/>
    <x v="8"/>
    <x v="28"/>
    <x v="28"/>
    <x v="28"/>
  </r>
  <r>
    <x v="4"/>
    <x v="18"/>
    <x v="1"/>
    <x v="13"/>
    <x v="0"/>
    <x v="1"/>
    <x v="29"/>
    <x v="29"/>
    <x v="29"/>
    <x v="29"/>
    <x v="1"/>
    <x v="1"/>
    <x v="29"/>
    <x v="29"/>
    <x v="29"/>
  </r>
  <r>
    <x v="3"/>
    <x v="19"/>
    <x v="3"/>
    <x v="1"/>
    <x v="0"/>
    <x v="1"/>
    <x v="30"/>
    <x v="30"/>
    <x v="30"/>
    <x v="30"/>
    <x v="3"/>
    <x v="3"/>
    <x v="30"/>
    <x v="30"/>
    <x v="30"/>
  </r>
  <r>
    <x v="6"/>
    <x v="14"/>
    <x v="4"/>
    <x v="10"/>
    <x v="1"/>
    <x v="1"/>
    <x v="31"/>
    <x v="31"/>
    <x v="31"/>
    <x v="31"/>
    <x v="4"/>
    <x v="4"/>
    <x v="31"/>
    <x v="31"/>
    <x v="31"/>
  </r>
  <r>
    <x v="0"/>
    <x v="7"/>
    <x v="1"/>
    <x v="10"/>
    <x v="1"/>
    <x v="2"/>
    <x v="32"/>
    <x v="32"/>
    <x v="32"/>
    <x v="32"/>
    <x v="1"/>
    <x v="1"/>
    <x v="32"/>
    <x v="32"/>
    <x v="32"/>
  </r>
  <r>
    <x v="4"/>
    <x v="18"/>
    <x v="9"/>
    <x v="14"/>
    <x v="0"/>
    <x v="3"/>
    <x v="33"/>
    <x v="33"/>
    <x v="33"/>
    <x v="33"/>
    <x v="9"/>
    <x v="9"/>
    <x v="33"/>
    <x v="33"/>
    <x v="33"/>
  </r>
  <r>
    <x v="1"/>
    <x v="20"/>
    <x v="1"/>
    <x v="5"/>
    <x v="1"/>
    <x v="1"/>
    <x v="34"/>
    <x v="34"/>
    <x v="34"/>
    <x v="34"/>
    <x v="1"/>
    <x v="1"/>
    <x v="34"/>
    <x v="34"/>
    <x v="34"/>
  </r>
  <r>
    <x v="6"/>
    <x v="14"/>
    <x v="7"/>
    <x v="14"/>
    <x v="0"/>
    <x v="2"/>
    <x v="35"/>
    <x v="35"/>
    <x v="35"/>
    <x v="35"/>
    <x v="7"/>
    <x v="7"/>
    <x v="35"/>
    <x v="35"/>
    <x v="35"/>
  </r>
  <r>
    <x v="6"/>
    <x v="21"/>
    <x v="7"/>
    <x v="1"/>
    <x v="1"/>
    <x v="1"/>
    <x v="36"/>
    <x v="36"/>
    <x v="36"/>
    <x v="36"/>
    <x v="7"/>
    <x v="7"/>
    <x v="36"/>
    <x v="36"/>
    <x v="36"/>
  </r>
  <r>
    <x v="6"/>
    <x v="15"/>
    <x v="5"/>
    <x v="11"/>
    <x v="0"/>
    <x v="0"/>
    <x v="37"/>
    <x v="37"/>
    <x v="37"/>
    <x v="37"/>
    <x v="5"/>
    <x v="5"/>
    <x v="37"/>
    <x v="37"/>
    <x v="37"/>
  </r>
  <r>
    <x v="2"/>
    <x v="8"/>
    <x v="9"/>
    <x v="15"/>
    <x v="0"/>
    <x v="3"/>
    <x v="38"/>
    <x v="38"/>
    <x v="38"/>
    <x v="38"/>
    <x v="9"/>
    <x v="9"/>
    <x v="38"/>
    <x v="38"/>
    <x v="38"/>
  </r>
  <r>
    <x v="6"/>
    <x v="14"/>
    <x v="9"/>
    <x v="3"/>
    <x v="0"/>
    <x v="1"/>
    <x v="39"/>
    <x v="39"/>
    <x v="39"/>
    <x v="39"/>
    <x v="9"/>
    <x v="9"/>
    <x v="39"/>
    <x v="39"/>
    <x v="39"/>
  </r>
  <r>
    <x v="6"/>
    <x v="14"/>
    <x v="2"/>
    <x v="4"/>
    <x v="0"/>
    <x v="2"/>
    <x v="40"/>
    <x v="40"/>
    <x v="40"/>
    <x v="40"/>
    <x v="2"/>
    <x v="2"/>
    <x v="40"/>
    <x v="40"/>
    <x v="40"/>
  </r>
  <r>
    <x v="4"/>
    <x v="18"/>
    <x v="6"/>
    <x v="5"/>
    <x v="1"/>
    <x v="0"/>
    <x v="41"/>
    <x v="41"/>
    <x v="41"/>
    <x v="41"/>
    <x v="6"/>
    <x v="6"/>
    <x v="41"/>
    <x v="41"/>
    <x v="41"/>
  </r>
  <r>
    <x v="3"/>
    <x v="9"/>
    <x v="2"/>
    <x v="16"/>
    <x v="1"/>
    <x v="0"/>
    <x v="42"/>
    <x v="42"/>
    <x v="42"/>
    <x v="42"/>
    <x v="2"/>
    <x v="2"/>
    <x v="42"/>
    <x v="42"/>
    <x v="42"/>
  </r>
  <r>
    <x v="1"/>
    <x v="13"/>
    <x v="0"/>
    <x v="0"/>
    <x v="1"/>
    <x v="2"/>
    <x v="43"/>
    <x v="43"/>
    <x v="43"/>
    <x v="43"/>
    <x v="0"/>
    <x v="0"/>
    <x v="43"/>
    <x v="43"/>
    <x v="43"/>
  </r>
  <r>
    <x v="1"/>
    <x v="1"/>
    <x v="6"/>
    <x v="17"/>
    <x v="1"/>
    <x v="2"/>
    <x v="44"/>
    <x v="44"/>
    <x v="44"/>
    <x v="44"/>
    <x v="6"/>
    <x v="6"/>
    <x v="44"/>
    <x v="44"/>
    <x v="44"/>
  </r>
  <r>
    <x v="0"/>
    <x v="7"/>
    <x v="2"/>
    <x v="9"/>
    <x v="1"/>
    <x v="1"/>
    <x v="45"/>
    <x v="45"/>
    <x v="25"/>
    <x v="45"/>
    <x v="2"/>
    <x v="2"/>
    <x v="45"/>
    <x v="45"/>
    <x v="45"/>
  </r>
  <r>
    <x v="5"/>
    <x v="12"/>
    <x v="1"/>
    <x v="10"/>
    <x v="0"/>
    <x v="0"/>
    <x v="46"/>
    <x v="46"/>
    <x v="45"/>
    <x v="46"/>
    <x v="1"/>
    <x v="1"/>
    <x v="46"/>
    <x v="46"/>
    <x v="46"/>
  </r>
  <r>
    <x v="1"/>
    <x v="13"/>
    <x v="8"/>
    <x v="9"/>
    <x v="1"/>
    <x v="1"/>
    <x v="47"/>
    <x v="47"/>
    <x v="46"/>
    <x v="47"/>
    <x v="8"/>
    <x v="8"/>
    <x v="47"/>
    <x v="47"/>
    <x v="47"/>
  </r>
  <r>
    <x v="3"/>
    <x v="9"/>
    <x v="9"/>
    <x v="18"/>
    <x v="1"/>
    <x v="1"/>
    <x v="48"/>
    <x v="48"/>
    <x v="47"/>
    <x v="48"/>
    <x v="9"/>
    <x v="9"/>
    <x v="48"/>
    <x v="48"/>
    <x v="48"/>
  </r>
  <r>
    <x v="1"/>
    <x v="1"/>
    <x v="1"/>
    <x v="9"/>
    <x v="0"/>
    <x v="0"/>
    <x v="49"/>
    <x v="49"/>
    <x v="48"/>
    <x v="49"/>
    <x v="1"/>
    <x v="1"/>
    <x v="49"/>
    <x v="49"/>
    <x v="49"/>
  </r>
  <r>
    <x v="5"/>
    <x v="11"/>
    <x v="2"/>
    <x v="19"/>
    <x v="1"/>
    <x v="2"/>
    <x v="50"/>
    <x v="50"/>
    <x v="49"/>
    <x v="50"/>
    <x v="2"/>
    <x v="2"/>
    <x v="50"/>
    <x v="50"/>
    <x v="50"/>
  </r>
  <r>
    <x v="0"/>
    <x v="16"/>
    <x v="1"/>
    <x v="13"/>
    <x v="1"/>
    <x v="2"/>
    <x v="51"/>
    <x v="51"/>
    <x v="50"/>
    <x v="51"/>
    <x v="1"/>
    <x v="1"/>
    <x v="51"/>
    <x v="51"/>
    <x v="51"/>
  </r>
  <r>
    <x v="1"/>
    <x v="17"/>
    <x v="7"/>
    <x v="2"/>
    <x v="0"/>
    <x v="1"/>
    <x v="52"/>
    <x v="52"/>
    <x v="51"/>
    <x v="52"/>
    <x v="7"/>
    <x v="7"/>
    <x v="52"/>
    <x v="52"/>
    <x v="52"/>
  </r>
  <r>
    <x v="5"/>
    <x v="12"/>
    <x v="5"/>
    <x v="19"/>
    <x v="1"/>
    <x v="3"/>
    <x v="53"/>
    <x v="53"/>
    <x v="52"/>
    <x v="53"/>
    <x v="5"/>
    <x v="5"/>
    <x v="53"/>
    <x v="53"/>
    <x v="53"/>
  </r>
  <r>
    <x v="1"/>
    <x v="4"/>
    <x v="2"/>
    <x v="15"/>
    <x v="0"/>
    <x v="1"/>
    <x v="54"/>
    <x v="54"/>
    <x v="53"/>
    <x v="54"/>
    <x v="2"/>
    <x v="2"/>
    <x v="54"/>
    <x v="54"/>
    <x v="54"/>
  </r>
  <r>
    <x v="5"/>
    <x v="22"/>
    <x v="7"/>
    <x v="20"/>
    <x v="1"/>
    <x v="1"/>
    <x v="55"/>
    <x v="55"/>
    <x v="54"/>
    <x v="55"/>
    <x v="7"/>
    <x v="7"/>
    <x v="55"/>
    <x v="55"/>
    <x v="55"/>
  </r>
  <r>
    <x v="6"/>
    <x v="15"/>
    <x v="4"/>
    <x v="6"/>
    <x v="0"/>
    <x v="3"/>
    <x v="56"/>
    <x v="56"/>
    <x v="55"/>
    <x v="56"/>
    <x v="4"/>
    <x v="4"/>
    <x v="56"/>
    <x v="56"/>
    <x v="56"/>
  </r>
  <r>
    <x v="1"/>
    <x v="1"/>
    <x v="1"/>
    <x v="12"/>
    <x v="0"/>
    <x v="1"/>
    <x v="57"/>
    <x v="57"/>
    <x v="56"/>
    <x v="57"/>
    <x v="1"/>
    <x v="1"/>
    <x v="57"/>
    <x v="57"/>
    <x v="57"/>
  </r>
  <r>
    <x v="6"/>
    <x v="21"/>
    <x v="6"/>
    <x v="7"/>
    <x v="1"/>
    <x v="2"/>
    <x v="58"/>
    <x v="58"/>
    <x v="57"/>
    <x v="58"/>
    <x v="6"/>
    <x v="6"/>
    <x v="58"/>
    <x v="58"/>
    <x v="58"/>
  </r>
  <r>
    <x v="0"/>
    <x v="16"/>
    <x v="4"/>
    <x v="19"/>
    <x v="1"/>
    <x v="3"/>
    <x v="59"/>
    <x v="59"/>
    <x v="58"/>
    <x v="59"/>
    <x v="4"/>
    <x v="4"/>
    <x v="59"/>
    <x v="59"/>
    <x v="59"/>
  </r>
  <r>
    <x v="6"/>
    <x v="15"/>
    <x v="7"/>
    <x v="20"/>
    <x v="0"/>
    <x v="3"/>
    <x v="60"/>
    <x v="60"/>
    <x v="59"/>
    <x v="60"/>
    <x v="7"/>
    <x v="7"/>
    <x v="60"/>
    <x v="60"/>
    <x v="60"/>
  </r>
  <r>
    <x v="2"/>
    <x v="23"/>
    <x v="8"/>
    <x v="18"/>
    <x v="0"/>
    <x v="0"/>
    <x v="61"/>
    <x v="61"/>
    <x v="60"/>
    <x v="61"/>
    <x v="8"/>
    <x v="8"/>
    <x v="61"/>
    <x v="61"/>
    <x v="61"/>
  </r>
  <r>
    <x v="3"/>
    <x v="3"/>
    <x v="5"/>
    <x v="5"/>
    <x v="1"/>
    <x v="1"/>
    <x v="62"/>
    <x v="62"/>
    <x v="61"/>
    <x v="62"/>
    <x v="5"/>
    <x v="5"/>
    <x v="62"/>
    <x v="62"/>
    <x v="62"/>
  </r>
  <r>
    <x v="4"/>
    <x v="5"/>
    <x v="0"/>
    <x v="11"/>
    <x v="0"/>
    <x v="0"/>
    <x v="63"/>
    <x v="63"/>
    <x v="62"/>
    <x v="63"/>
    <x v="0"/>
    <x v="0"/>
    <x v="63"/>
    <x v="63"/>
    <x v="63"/>
  </r>
  <r>
    <x v="1"/>
    <x v="20"/>
    <x v="6"/>
    <x v="17"/>
    <x v="1"/>
    <x v="1"/>
    <x v="64"/>
    <x v="64"/>
    <x v="63"/>
    <x v="64"/>
    <x v="6"/>
    <x v="6"/>
    <x v="64"/>
    <x v="64"/>
    <x v="64"/>
  </r>
  <r>
    <x v="0"/>
    <x v="0"/>
    <x v="4"/>
    <x v="20"/>
    <x v="1"/>
    <x v="2"/>
    <x v="65"/>
    <x v="65"/>
    <x v="64"/>
    <x v="65"/>
    <x v="4"/>
    <x v="4"/>
    <x v="65"/>
    <x v="65"/>
    <x v="65"/>
  </r>
  <r>
    <x v="2"/>
    <x v="8"/>
    <x v="8"/>
    <x v="1"/>
    <x v="0"/>
    <x v="1"/>
    <x v="66"/>
    <x v="66"/>
    <x v="65"/>
    <x v="66"/>
    <x v="8"/>
    <x v="8"/>
    <x v="66"/>
    <x v="66"/>
    <x v="66"/>
  </r>
  <r>
    <x v="5"/>
    <x v="6"/>
    <x v="0"/>
    <x v="8"/>
    <x v="0"/>
    <x v="1"/>
    <x v="67"/>
    <x v="67"/>
    <x v="66"/>
    <x v="67"/>
    <x v="0"/>
    <x v="0"/>
    <x v="67"/>
    <x v="67"/>
    <x v="67"/>
  </r>
  <r>
    <x v="5"/>
    <x v="22"/>
    <x v="3"/>
    <x v="10"/>
    <x v="1"/>
    <x v="1"/>
    <x v="68"/>
    <x v="68"/>
    <x v="67"/>
    <x v="68"/>
    <x v="3"/>
    <x v="3"/>
    <x v="68"/>
    <x v="68"/>
    <x v="68"/>
  </r>
  <r>
    <x v="0"/>
    <x v="0"/>
    <x v="9"/>
    <x v="0"/>
    <x v="0"/>
    <x v="2"/>
    <x v="69"/>
    <x v="69"/>
    <x v="68"/>
    <x v="69"/>
    <x v="9"/>
    <x v="9"/>
    <x v="69"/>
    <x v="69"/>
    <x v="69"/>
  </r>
  <r>
    <x v="6"/>
    <x v="14"/>
    <x v="1"/>
    <x v="0"/>
    <x v="1"/>
    <x v="0"/>
    <x v="70"/>
    <x v="70"/>
    <x v="69"/>
    <x v="70"/>
    <x v="1"/>
    <x v="1"/>
    <x v="70"/>
    <x v="70"/>
    <x v="70"/>
  </r>
  <r>
    <x v="5"/>
    <x v="11"/>
    <x v="0"/>
    <x v="14"/>
    <x v="1"/>
    <x v="2"/>
    <x v="71"/>
    <x v="71"/>
    <x v="70"/>
    <x v="71"/>
    <x v="0"/>
    <x v="0"/>
    <x v="71"/>
    <x v="71"/>
    <x v="71"/>
  </r>
  <r>
    <x v="2"/>
    <x v="23"/>
    <x v="5"/>
    <x v="9"/>
    <x v="0"/>
    <x v="2"/>
    <x v="72"/>
    <x v="72"/>
    <x v="71"/>
    <x v="72"/>
    <x v="5"/>
    <x v="5"/>
    <x v="72"/>
    <x v="72"/>
    <x v="72"/>
  </r>
  <r>
    <x v="5"/>
    <x v="12"/>
    <x v="6"/>
    <x v="14"/>
    <x v="1"/>
    <x v="3"/>
    <x v="73"/>
    <x v="73"/>
    <x v="72"/>
    <x v="73"/>
    <x v="6"/>
    <x v="6"/>
    <x v="73"/>
    <x v="73"/>
    <x v="73"/>
  </r>
  <r>
    <x v="4"/>
    <x v="18"/>
    <x v="7"/>
    <x v="10"/>
    <x v="1"/>
    <x v="1"/>
    <x v="74"/>
    <x v="74"/>
    <x v="73"/>
    <x v="74"/>
    <x v="7"/>
    <x v="7"/>
    <x v="74"/>
    <x v="74"/>
    <x v="74"/>
  </r>
  <r>
    <x v="0"/>
    <x v="0"/>
    <x v="9"/>
    <x v="7"/>
    <x v="0"/>
    <x v="1"/>
    <x v="75"/>
    <x v="75"/>
    <x v="74"/>
    <x v="75"/>
    <x v="9"/>
    <x v="9"/>
    <x v="75"/>
    <x v="75"/>
    <x v="75"/>
  </r>
  <r>
    <x v="1"/>
    <x v="20"/>
    <x v="1"/>
    <x v="9"/>
    <x v="0"/>
    <x v="1"/>
    <x v="76"/>
    <x v="76"/>
    <x v="75"/>
    <x v="76"/>
    <x v="1"/>
    <x v="1"/>
    <x v="76"/>
    <x v="76"/>
    <x v="76"/>
  </r>
  <r>
    <x v="1"/>
    <x v="24"/>
    <x v="7"/>
    <x v="11"/>
    <x v="1"/>
    <x v="3"/>
    <x v="77"/>
    <x v="77"/>
    <x v="76"/>
    <x v="77"/>
    <x v="7"/>
    <x v="7"/>
    <x v="77"/>
    <x v="77"/>
    <x v="77"/>
  </r>
  <r>
    <x v="4"/>
    <x v="5"/>
    <x v="6"/>
    <x v="12"/>
    <x v="0"/>
    <x v="2"/>
    <x v="78"/>
    <x v="78"/>
    <x v="77"/>
    <x v="78"/>
    <x v="6"/>
    <x v="6"/>
    <x v="78"/>
    <x v="78"/>
    <x v="78"/>
  </r>
  <r>
    <x v="0"/>
    <x v="7"/>
    <x v="2"/>
    <x v="15"/>
    <x v="1"/>
    <x v="0"/>
    <x v="79"/>
    <x v="79"/>
    <x v="78"/>
    <x v="79"/>
    <x v="2"/>
    <x v="2"/>
    <x v="79"/>
    <x v="79"/>
    <x v="79"/>
  </r>
  <r>
    <x v="5"/>
    <x v="12"/>
    <x v="3"/>
    <x v="7"/>
    <x v="1"/>
    <x v="3"/>
    <x v="69"/>
    <x v="80"/>
    <x v="79"/>
    <x v="80"/>
    <x v="3"/>
    <x v="3"/>
    <x v="80"/>
    <x v="80"/>
    <x v="80"/>
  </r>
  <r>
    <x v="3"/>
    <x v="3"/>
    <x v="8"/>
    <x v="14"/>
    <x v="1"/>
    <x v="2"/>
    <x v="80"/>
    <x v="81"/>
    <x v="80"/>
    <x v="81"/>
    <x v="8"/>
    <x v="8"/>
    <x v="81"/>
    <x v="81"/>
    <x v="81"/>
  </r>
  <r>
    <x v="2"/>
    <x v="23"/>
    <x v="6"/>
    <x v="15"/>
    <x v="1"/>
    <x v="1"/>
    <x v="81"/>
    <x v="82"/>
    <x v="81"/>
    <x v="82"/>
    <x v="6"/>
    <x v="6"/>
    <x v="82"/>
    <x v="82"/>
    <x v="82"/>
  </r>
  <r>
    <x v="5"/>
    <x v="10"/>
    <x v="8"/>
    <x v="11"/>
    <x v="0"/>
    <x v="1"/>
    <x v="82"/>
    <x v="83"/>
    <x v="82"/>
    <x v="83"/>
    <x v="8"/>
    <x v="8"/>
    <x v="83"/>
    <x v="83"/>
    <x v="83"/>
  </r>
  <r>
    <x v="6"/>
    <x v="21"/>
    <x v="1"/>
    <x v="13"/>
    <x v="1"/>
    <x v="1"/>
    <x v="83"/>
    <x v="84"/>
    <x v="83"/>
    <x v="84"/>
    <x v="1"/>
    <x v="1"/>
    <x v="84"/>
    <x v="84"/>
    <x v="84"/>
  </r>
  <r>
    <x v="4"/>
    <x v="5"/>
    <x v="6"/>
    <x v="5"/>
    <x v="0"/>
    <x v="3"/>
    <x v="84"/>
    <x v="85"/>
    <x v="84"/>
    <x v="85"/>
    <x v="6"/>
    <x v="6"/>
    <x v="85"/>
    <x v="85"/>
    <x v="85"/>
  </r>
  <r>
    <x v="5"/>
    <x v="6"/>
    <x v="0"/>
    <x v="1"/>
    <x v="1"/>
    <x v="3"/>
    <x v="85"/>
    <x v="86"/>
    <x v="24"/>
    <x v="86"/>
    <x v="0"/>
    <x v="0"/>
    <x v="86"/>
    <x v="86"/>
    <x v="86"/>
  </r>
  <r>
    <x v="3"/>
    <x v="3"/>
    <x v="7"/>
    <x v="9"/>
    <x v="1"/>
    <x v="2"/>
    <x v="86"/>
    <x v="87"/>
    <x v="85"/>
    <x v="87"/>
    <x v="7"/>
    <x v="7"/>
    <x v="87"/>
    <x v="87"/>
    <x v="87"/>
  </r>
  <r>
    <x v="6"/>
    <x v="14"/>
    <x v="3"/>
    <x v="2"/>
    <x v="1"/>
    <x v="0"/>
    <x v="83"/>
    <x v="88"/>
    <x v="86"/>
    <x v="88"/>
    <x v="3"/>
    <x v="3"/>
    <x v="88"/>
    <x v="88"/>
    <x v="88"/>
  </r>
  <r>
    <x v="2"/>
    <x v="2"/>
    <x v="3"/>
    <x v="16"/>
    <x v="0"/>
    <x v="2"/>
    <x v="87"/>
    <x v="89"/>
    <x v="87"/>
    <x v="89"/>
    <x v="3"/>
    <x v="3"/>
    <x v="89"/>
    <x v="89"/>
    <x v="89"/>
  </r>
  <r>
    <x v="5"/>
    <x v="10"/>
    <x v="2"/>
    <x v="18"/>
    <x v="1"/>
    <x v="0"/>
    <x v="88"/>
    <x v="90"/>
    <x v="88"/>
    <x v="90"/>
    <x v="2"/>
    <x v="2"/>
    <x v="90"/>
    <x v="90"/>
    <x v="90"/>
  </r>
  <r>
    <x v="3"/>
    <x v="3"/>
    <x v="8"/>
    <x v="18"/>
    <x v="0"/>
    <x v="3"/>
    <x v="89"/>
    <x v="91"/>
    <x v="89"/>
    <x v="1"/>
    <x v="8"/>
    <x v="8"/>
    <x v="91"/>
    <x v="91"/>
    <x v="91"/>
  </r>
  <r>
    <x v="3"/>
    <x v="3"/>
    <x v="3"/>
    <x v="9"/>
    <x v="1"/>
    <x v="0"/>
    <x v="90"/>
    <x v="92"/>
    <x v="90"/>
    <x v="91"/>
    <x v="3"/>
    <x v="3"/>
    <x v="92"/>
    <x v="92"/>
    <x v="92"/>
  </r>
  <r>
    <x v="4"/>
    <x v="18"/>
    <x v="3"/>
    <x v="7"/>
    <x v="0"/>
    <x v="2"/>
    <x v="91"/>
    <x v="93"/>
    <x v="91"/>
    <x v="92"/>
    <x v="3"/>
    <x v="3"/>
    <x v="93"/>
    <x v="93"/>
    <x v="93"/>
  </r>
  <r>
    <x v="6"/>
    <x v="14"/>
    <x v="5"/>
    <x v="5"/>
    <x v="1"/>
    <x v="3"/>
    <x v="92"/>
    <x v="94"/>
    <x v="92"/>
    <x v="93"/>
    <x v="5"/>
    <x v="5"/>
    <x v="94"/>
    <x v="94"/>
    <x v="94"/>
  </r>
  <r>
    <x v="6"/>
    <x v="15"/>
    <x v="2"/>
    <x v="8"/>
    <x v="0"/>
    <x v="0"/>
    <x v="93"/>
    <x v="95"/>
    <x v="93"/>
    <x v="94"/>
    <x v="2"/>
    <x v="2"/>
    <x v="95"/>
    <x v="95"/>
    <x v="95"/>
  </r>
  <r>
    <x v="3"/>
    <x v="3"/>
    <x v="9"/>
    <x v="9"/>
    <x v="0"/>
    <x v="1"/>
    <x v="94"/>
    <x v="96"/>
    <x v="94"/>
    <x v="95"/>
    <x v="9"/>
    <x v="9"/>
    <x v="96"/>
    <x v="96"/>
    <x v="96"/>
  </r>
  <r>
    <x v="0"/>
    <x v="16"/>
    <x v="0"/>
    <x v="8"/>
    <x v="0"/>
    <x v="3"/>
    <x v="95"/>
    <x v="97"/>
    <x v="95"/>
    <x v="96"/>
    <x v="0"/>
    <x v="0"/>
    <x v="97"/>
    <x v="97"/>
    <x v="97"/>
  </r>
  <r>
    <x v="5"/>
    <x v="10"/>
    <x v="5"/>
    <x v="13"/>
    <x v="1"/>
    <x v="3"/>
    <x v="96"/>
    <x v="98"/>
    <x v="96"/>
    <x v="97"/>
    <x v="5"/>
    <x v="5"/>
    <x v="98"/>
    <x v="98"/>
    <x v="98"/>
  </r>
  <r>
    <x v="6"/>
    <x v="21"/>
    <x v="0"/>
    <x v="14"/>
    <x v="0"/>
    <x v="0"/>
    <x v="97"/>
    <x v="99"/>
    <x v="97"/>
    <x v="98"/>
    <x v="0"/>
    <x v="0"/>
    <x v="99"/>
    <x v="99"/>
    <x v="99"/>
  </r>
  <r>
    <x v="5"/>
    <x v="12"/>
    <x v="9"/>
    <x v="16"/>
    <x v="1"/>
    <x v="3"/>
    <x v="98"/>
    <x v="100"/>
    <x v="98"/>
    <x v="99"/>
    <x v="9"/>
    <x v="9"/>
    <x v="100"/>
    <x v="100"/>
    <x v="100"/>
  </r>
  <r>
    <x v="2"/>
    <x v="23"/>
    <x v="9"/>
    <x v="9"/>
    <x v="1"/>
    <x v="3"/>
    <x v="99"/>
    <x v="101"/>
    <x v="99"/>
    <x v="100"/>
    <x v="9"/>
    <x v="9"/>
    <x v="101"/>
    <x v="101"/>
    <x v="101"/>
  </r>
  <r>
    <x v="2"/>
    <x v="23"/>
    <x v="7"/>
    <x v="11"/>
    <x v="1"/>
    <x v="0"/>
    <x v="100"/>
    <x v="102"/>
    <x v="100"/>
    <x v="101"/>
    <x v="7"/>
    <x v="7"/>
    <x v="102"/>
    <x v="102"/>
    <x v="102"/>
  </r>
  <r>
    <x v="6"/>
    <x v="15"/>
    <x v="7"/>
    <x v="8"/>
    <x v="0"/>
    <x v="1"/>
    <x v="101"/>
    <x v="103"/>
    <x v="101"/>
    <x v="102"/>
    <x v="7"/>
    <x v="7"/>
    <x v="103"/>
    <x v="103"/>
    <x v="103"/>
  </r>
  <r>
    <x v="4"/>
    <x v="5"/>
    <x v="1"/>
    <x v="9"/>
    <x v="1"/>
    <x v="2"/>
    <x v="102"/>
    <x v="104"/>
    <x v="102"/>
    <x v="103"/>
    <x v="1"/>
    <x v="1"/>
    <x v="104"/>
    <x v="104"/>
    <x v="104"/>
  </r>
  <r>
    <x v="3"/>
    <x v="9"/>
    <x v="5"/>
    <x v="2"/>
    <x v="0"/>
    <x v="3"/>
    <x v="103"/>
    <x v="105"/>
    <x v="103"/>
    <x v="104"/>
    <x v="5"/>
    <x v="5"/>
    <x v="105"/>
    <x v="105"/>
    <x v="105"/>
  </r>
  <r>
    <x v="1"/>
    <x v="17"/>
    <x v="3"/>
    <x v="9"/>
    <x v="1"/>
    <x v="2"/>
    <x v="104"/>
    <x v="106"/>
    <x v="104"/>
    <x v="105"/>
    <x v="3"/>
    <x v="3"/>
    <x v="106"/>
    <x v="106"/>
    <x v="106"/>
  </r>
  <r>
    <x v="3"/>
    <x v="19"/>
    <x v="2"/>
    <x v="20"/>
    <x v="0"/>
    <x v="1"/>
    <x v="105"/>
    <x v="107"/>
    <x v="105"/>
    <x v="106"/>
    <x v="2"/>
    <x v="2"/>
    <x v="107"/>
    <x v="107"/>
    <x v="107"/>
  </r>
  <r>
    <x v="4"/>
    <x v="18"/>
    <x v="6"/>
    <x v="14"/>
    <x v="0"/>
    <x v="3"/>
    <x v="106"/>
    <x v="108"/>
    <x v="106"/>
    <x v="107"/>
    <x v="6"/>
    <x v="6"/>
    <x v="108"/>
    <x v="108"/>
    <x v="108"/>
  </r>
  <r>
    <x v="6"/>
    <x v="14"/>
    <x v="8"/>
    <x v="15"/>
    <x v="1"/>
    <x v="1"/>
    <x v="107"/>
    <x v="109"/>
    <x v="107"/>
    <x v="108"/>
    <x v="8"/>
    <x v="8"/>
    <x v="109"/>
    <x v="109"/>
    <x v="109"/>
  </r>
  <r>
    <x v="4"/>
    <x v="5"/>
    <x v="8"/>
    <x v="19"/>
    <x v="1"/>
    <x v="0"/>
    <x v="108"/>
    <x v="110"/>
    <x v="108"/>
    <x v="109"/>
    <x v="8"/>
    <x v="8"/>
    <x v="110"/>
    <x v="110"/>
    <x v="110"/>
  </r>
  <r>
    <x v="6"/>
    <x v="21"/>
    <x v="8"/>
    <x v="20"/>
    <x v="0"/>
    <x v="0"/>
    <x v="109"/>
    <x v="111"/>
    <x v="109"/>
    <x v="110"/>
    <x v="8"/>
    <x v="8"/>
    <x v="111"/>
    <x v="111"/>
    <x v="111"/>
  </r>
  <r>
    <x v="6"/>
    <x v="21"/>
    <x v="4"/>
    <x v="16"/>
    <x v="1"/>
    <x v="0"/>
    <x v="110"/>
    <x v="112"/>
    <x v="110"/>
    <x v="111"/>
    <x v="4"/>
    <x v="4"/>
    <x v="112"/>
    <x v="112"/>
    <x v="112"/>
  </r>
  <r>
    <x v="0"/>
    <x v="7"/>
    <x v="4"/>
    <x v="12"/>
    <x v="1"/>
    <x v="2"/>
    <x v="111"/>
    <x v="113"/>
    <x v="111"/>
    <x v="112"/>
    <x v="4"/>
    <x v="4"/>
    <x v="113"/>
    <x v="113"/>
    <x v="113"/>
  </r>
  <r>
    <x v="5"/>
    <x v="12"/>
    <x v="5"/>
    <x v="19"/>
    <x v="0"/>
    <x v="2"/>
    <x v="112"/>
    <x v="114"/>
    <x v="112"/>
    <x v="113"/>
    <x v="5"/>
    <x v="5"/>
    <x v="114"/>
    <x v="114"/>
    <x v="114"/>
  </r>
  <r>
    <x v="3"/>
    <x v="19"/>
    <x v="2"/>
    <x v="17"/>
    <x v="1"/>
    <x v="0"/>
    <x v="113"/>
    <x v="115"/>
    <x v="113"/>
    <x v="114"/>
    <x v="2"/>
    <x v="2"/>
    <x v="115"/>
    <x v="115"/>
    <x v="115"/>
  </r>
  <r>
    <x v="5"/>
    <x v="11"/>
    <x v="0"/>
    <x v="6"/>
    <x v="0"/>
    <x v="1"/>
    <x v="114"/>
    <x v="116"/>
    <x v="114"/>
    <x v="115"/>
    <x v="0"/>
    <x v="0"/>
    <x v="116"/>
    <x v="116"/>
    <x v="116"/>
  </r>
  <r>
    <x v="5"/>
    <x v="12"/>
    <x v="0"/>
    <x v="9"/>
    <x v="1"/>
    <x v="3"/>
    <x v="115"/>
    <x v="117"/>
    <x v="115"/>
    <x v="116"/>
    <x v="0"/>
    <x v="0"/>
    <x v="117"/>
    <x v="117"/>
    <x v="117"/>
  </r>
  <r>
    <x v="4"/>
    <x v="5"/>
    <x v="0"/>
    <x v="8"/>
    <x v="1"/>
    <x v="3"/>
    <x v="116"/>
    <x v="118"/>
    <x v="116"/>
    <x v="117"/>
    <x v="0"/>
    <x v="0"/>
    <x v="118"/>
    <x v="118"/>
    <x v="118"/>
  </r>
  <r>
    <x v="1"/>
    <x v="4"/>
    <x v="4"/>
    <x v="16"/>
    <x v="0"/>
    <x v="1"/>
    <x v="117"/>
    <x v="119"/>
    <x v="117"/>
    <x v="118"/>
    <x v="4"/>
    <x v="4"/>
    <x v="119"/>
    <x v="119"/>
    <x v="119"/>
  </r>
  <r>
    <x v="0"/>
    <x v="0"/>
    <x v="7"/>
    <x v="8"/>
    <x v="1"/>
    <x v="2"/>
    <x v="118"/>
    <x v="120"/>
    <x v="118"/>
    <x v="119"/>
    <x v="7"/>
    <x v="7"/>
    <x v="120"/>
    <x v="120"/>
    <x v="120"/>
  </r>
  <r>
    <x v="0"/>
    <x v="0"/>
    <x v="2"/>
    <x v="21"/>
    <x v="1"/>
    <x v="0"/>
    <x v="119"/>
    <x v="121"/>
    <x v="119"/>
    <x v="120"/>
    <x v="2"/>
    <x v="2"/>
    <x v="121"/>
    <x v="121"/>
    <x v="121"/>
  </r>
  <r>
    <x v="3"/>
    <x v="3"/>
    <x v="6"/>
    <x v="16"/>
    <x v="1"/>
    <x v="1"/>
    <x v="120"/>
    <x v="122"/>
    <x v="120"/>
    <x v="121"/>
    <x v="6"/>
    <x v="6"/>
    <x v="122"/>
    <x v="122"/>
    <x v="122"/>
  </r>
  <r>
    <x v="6"/>
    <x v="14"/>
    <x v="9"/>
    <x v="6"/>
    <x v="0"/>
    <x v="1"/>
    <x v="121"/>
    <x v="123"/>
    <x v="121"/>
    <x v="122"/>
    <x v="9"/>
    <x v="9"/>
    <x v="123"/>
    <x v="123"/>
    <x v="123"/>
  </r>
  <r>
    <x v="5"/>
    <x v="10"/>
    <x v="9"/>
    <x v="17"/>
    <x v="0"/>
    <x v="3"/>
    <x v="122"/>
    <x v="124"/>
    <x v="122"/>
    <x v="123"/>
    <x v="9"/>
    <x v="9"/>
    <x v="124"/>
    <x v="124"/>
    <x v="124"/>
  </r>
  <r>
    <x v="0"/>
    <x v="7"/>
    <x v="0"/>
    <x v="19"/>
    <x v="1"/>
    <x v="2"/>
    <x v="123"/>
    <x v="125"/>
    <x v="123"/>
    <x v="124"/>
    <x v="0"/>
    <x v="0"/>
    <x v="125"/>
    <x v="125"/>
    <x v="125"/>
  </r>
  <r>
    <x v="1"/>
    <x v="20"/>
    <x v="0"/>
    <x v="19"/>
    <x v="1"/>
    <x v="1"/>
    <x v="124"/>
    <x v="126"/>
    <x v="124"/>
    <x v="125"/>
    <x v="0"/>
    <x v="0"/>
    <x v="126"/>
    <x v="126"/>
    <x v="126"/>
  </r>
  <r>
    <x v="6"/>
    <x v="21"/>
    <x v="9"/>
    <x v="19"/>
    <x v="0"/>
    <x v="2"/>
    <x v="125"/>
    <x v="127"/>
    <x v="125"/>
    <x v="126"/>
    <x v="9"/>
    <x v="9"/>
    <x v="127"/>
    <x v="127"/>
    <x v="127"/>
  </r>
  <r>
    <x v="3"/>
    <x v="19"/>
    <x v="2"/>
    <x v="19"/>
    <x v="1"/>
    <x v="0"/>
    <x v="126"/>
    <x v="128"/>
    <x v="126"/>
    <x v="127"/>
    <x v="2"/>
    <x v="2"/>
    <x v="128"/>
    <x v="128"/>
    <x v="128"/>
  </r>
  <r>
    <x v="1"/>
    <x v="13"/>
    <x v="3"/>
    <x v="1"/>
    <x v="1"/>
    <x v="3"/>
    <x v="127"/>
    <x v="129"/>
    <x v="127"/>
    <x v="128"/>
    <x v="3"/>
    <x v="3"/>
    <x v="129"/>
    <x v="129"/>
    <x v="129"/>
  </r>
  <r>
    <x v="1"/>
    <x v="17"/>
    <x v="6"/>
    <x v="10"/>
    <x v="1"/>
    <x v="3"/>
    <x v="128"/>
    <x v="130"/>
    <x v="128"/>
    <x v="129"/>
    <x v="6"/>
    <x v="6"/>
    <x v="130"/>
    <x v="130"/>
    <x v="130"/>
  </r>
  <r>
    <x v="4"/>
    <x v="18"/>
    <x v="0"/>
    <x v="18"/>
    <x v="0"/>
    <x v="2"/>
    <x v="129"/>
    <x v="131"/>
    <x v="129"/>
    <x v="130"/>
    <x v="0"/>
    <x v="0"/>
    <x v="131"/>
    <x v="131"/>
    <x v="131"/>
  </r>
  <r>
    <x v="4"/>
    <x v="5"/>
    <x v="8"/>
    <x v="3"/>
    <x v="1"/>
    <x v="3"/>
    <x v="130"/>
    <x v="132"/>
    <x v="130"/>
    <x v="131"/>
    <x v="8"/>
    <x v="8"/>
    <x v="132"/>
    <x v="132"/>
    <x v="132"/>
  </r>
  <r>
    <x v="1"/>
    <x v="17"/>
    <x v="4"/>
    <x v="6"/>
    <x v="1"/>
    <x v="1"/>
    <x v="131"/>
    <x v="133"/>
    <x v="131"/>
    <x v="132"/>
    <x v="4"/>
    <x v="4"/>
    <x v="133"/>
    <x v="133"/>
    <x v="133"/>
  </r>
  <r>
    <x v="2"/>
    <x v="8"/>
    <x v="5"/>
    <x v="1"/>
    <x v="0"/>
    <x v="3"/>
    <x v="132"/>
    <x v="134"/>
    <x v="132"/>
    <x v="133"/>
    <x v="5"/>
    <x v="5"/>
    <x v="134"/>
    <x v="134"/>
    <x v="134"/>
  </r>
  <r>
    <x v="4"/>
    <x v="18"/>
    <x v="3"/>
    <x v="15"/>
    <x v="0"/>
    <x v="2"/>
    <x v="133"/>
    <x v="135"/>
    <x v="133"/>
    <x v="134"/>
    <x v="3"/>
    <x v="3"/>
    <x v="135"/>
    <x v="135"/>
    <x v="135"/>
  </r>
  <r>
    <x v="3"/>
    <x v="19"/>
    <x v="8"/>
    <x v="7"/>
    <x v="1"/>
    <x v="3"/>
    <x v="134"/>
    <x v="136"/>
    <x v="134"/>
    <x v="135"/>
    <x v="8"/>
    <x v="8"/>
    <x v="136"/>
    <x v="136"/>
    <x v="136"/>
  </r>
  <r>
    <x v="1"/>
    <x v="13"/>
    <x v="8"/>
    <x v="8"/>
    <x v="1"/>
    <x v="0"/>
    <x v="135"/>
    <x v="137"/>
    <x v="135"/>
    <x v="136"/>
    <x v="8"/>
    <x v="8"/>
    <x v="137"/>
    <x v="137"/>
    <x v="137"/>
  </r>
  <r>
    <x v="1"/>
    <x v="24"/>
    <x v="5"/>
    <x v="9"/>
    <x v="0"/>
    <x v="0"/>
    <x v="136"/>
    <x v="138"/>
    <x v="136"/>
    <x v="137"/>
    <x v="5"/>
    <x v="5"/>
    <x v="138"/>
    <x v="138"/>
    <x v="138"/>
  </r>
  <r>
    <x v="6"/>
    <x v="21"/>
    <x v="5"/>
    <x v="7"/>
    <x v="0"/>
    <x v="1"/>
    <x v="137"/>
    <x v="139"/>
    <x v="137"/>
    <x v="138"/>
    <x v="5"/>
    <x v="5"/>
    <x v="139"/>
    <x v="139"/>
    <x v="139"/>
  </r>
  <r>
    <x v="4"/>
    <x v="5"/>
    <x v="3"/>
    <x v="14"/>
    <x v="0"/>
    <x v="2"/>
    <x v="138"/>
    <x v="140"/>
    <x v="138"/>
    <x v="139"/>
    <x v="3"/>
    <x v="3"/>
    <x v="140"/>
    <x v="140"/>
    <x v="140"/>
  </r>
  <r>
    <x v="1"/>
    <x v="4"/>
    <x v="1"/>
    <x v="0"/>
    <x v="1"/>
    <x v="0"/>
    <x v="139"/>
    <x v="141"/>
    <x v="139"/>
    <x v="140"/>
    <x v="1"/>
    <x v="1"/>
    <x v="141"/>
    <x v="141"/>
    <x v="141"/>
  </r>
  <r>
    <x v="3"/>
    <x v="9"/>
    <x v="6"/>
    <x v="0"/>
    <x v="1"/>
    <x v="3"/>
    <x v="112"/>
    <x v="142"/>
    <x v="140"/>
    <x v="141"/>
    <x v="6"/>
    <x v="6"/>
    <x v="142"/>
    <x v="142"/>
    <x v="142"/>
  </r>
  <r>
    <x v="3"/>
    <x v="9"/>
    <x v="8"/>
    <x v="17"/>
    <x v="0"/>
    <x v="0"/>
    <x v="140"/>
    <x v="143"/>
    <x v="141"/>
    <x v="142"/>
    <x v="8"/>
    <x v="8"/>
    <x v="143"/>
    <x v="143"/>
    <x v="143"/>
  </r>
  <r>
    <x v="6"/>
    <x v="21"/>
    <x v="4"/>
    <x v="5"/>
    <x v="1"/>
    <x v="3"/>
    <x v="141"/>
    <x v="144"/>
    <x v="142"/>
    <x v="143"/>
    <x v="4"/>
    <x v="4"/>
    <x v="144"/>
    <x v="144"/>
    <x v="144"/>
  </r>
  <r>
    <x v="2"/>
    <x v="2"/>
    <x v="2"/>
    <x v="15"/>
    <x v="0"/>
    <x v="1"/>
    <x v="142"/>
    <x v="145"/>
    <x v="143"/>
    <x v="144"/>
    <x v="2"/>
    <x v="2"/>
    <x v="145"/>
    <x v="145"/>
    <x v="145"/>
  </r>
  <r>
    <x v="1"/>
    <x v="17"/>
    <x v="0"/>
    <x v="11"/>
    <x v="0"/>
    <x v="3"/>
    <x v="143"/>
    <x v="146"/>
    <x v="144"/>
    <x v="145"/>
    <x v="0"/>
    <x v="0"/>
    <x v="146"/>
    <x v="146"/>
    <x v="146"/>
  </r>
  <r>
    <x v="3"/>
    <x v="19"/>
    <x v="9"/>
    <x v="15"/>
    <x v="1"/>
    <x v="3"/>
    <x v="20"/>
    <x v="147"/>
    <x v="20"/>
    <x v="146"/>
    <x v="9"/>
    <x v="9"/>
    <x v="147"/>
    <x v="147"/>
    <x v="147"/>
  </r>
  <r>
    <x v="0"/>
    <x v="0"/>
    <x v="0"/>
    <x v="19"/>
    <x v="1"/>
    <x v="3"/>
    <x v="144"/>
    <x v="148"/>
    <x v="145"/>
    <x v="147"/>
    <x v="0"/>
    <x v="0"/>
    <x v="148"/>
    <x v="148"/>
    <x v="148"/>
  </r>
  <r>
    <x v="4"/>
    <x v="18"/>
    <x v="9"/>
    <x v="17"/>
    <x v="0"/>
    <x v="0"/>
    <x v="145"/>
    <x v="149"/>
    <x v="146"/>
    <x v="148"/>
    <x v="9"/>
    <x v="9"/>
    <x v="149"/>
    <x v="149"/>
    <x v="1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Revenue &amp; Profit by Items" cacheId="0" autoFormatId="1" applyNumberFormats="0" applyBorderFormats="0" applyFontFormats="0" applyPatternFormats="0" applyAlignmentFormats="0" applyWidthHeightFormats="1" dataCaption="" updatedVersion="5" compact="0" compactData="0" showDrill="1">
  <location ref="A1:C13" firstHeaderRow="1" firstDataRow="2" firstDataCol="1"/>
  <pivotFields count="15">
    <pivotField compact="0" outline="0" multipleItemSelectionAllowed="1" showAll="0"/>
    <pivotField compact="0" outline="0" multipleItemSelectionAllowed="1" showAll="0"/>
    <pivotField axis="axisRow" compact="0" outline="0" multipleItemSelectionAllowed="1" showAll="0">
      <items count="11">
        <item x="6"/>
        <item x="2"/>
        <item x="4"/>
        <item x="9"/>
        <item x="1"/>
        <item x="7"/>
        <item x="0"/>
        <item x="3"/>
        <item x="8"/>
        <item x="5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numFmtId="178" showAll="0"/>
    <pivotField compact="0" outline="0" multipleItemSelectionAllowed="1" showAll="0"/>
    <pivotField compact="0" outline="0" multipleItemSelectionAllowed="1" numFmtId="178" showAll="0"/>
    <pivotField compact="0" outline="0" multipleItemSelectionAllowed="1" showAll="0"/>
    <pivotField compact="0" outline="0" multipleItemSelectionAllowed="1" numFmtId="2" showAll="0"/>
    <pivotField compact="0" outline="0" multipleItemSelectionAllowed="1" numFmtId="2" showAll="0"/>
    <pivotField dataField="1" compact="0" outline="0" multipleItemSelectionAllowed="1" numFmtId="2" showAll="0"/>
    <pivotField compact="0" outline="0" multipleItemSelectionAllowed="1" numFmtId="2" showAll="0"/>
    <pivotField dataField="1" compact="0" outline="0" multipleItemSelectionAllowed="1" numFmtId="2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Revenue" fld="12" baseField="0" baseItem="0"/>
    <dataField name="SUM of Total Profit" fld="14" baseField="0" baseItem="0"/>
  </dataFields>
  <pivotTableStyleInfo showRowHeaders="1" showColHeaders="1"/>
</pivotTableDefinition>
</file>

<file path=xl/pivotTables/pivotTable2.xml><?xml version="1.0" encoding="utf-8"?>
<pivotTableDefinition xmlns="http://schemas.openxmlformats.org/spreadsheetml/2006/main" name="Profit by Sales Channel" cacheId="0" autoFormatId="1" applyNumberFormats="0" applyBorderFormats="0" applyFontFormats="0" applyPatternFormats="0" applyAlignmentFormats="0" applyWidthHeightFormats="1" dataCaption="" updatedVersion="5" compact="0" compactData="0" showDrill="1">
  <location ref="A1:B4" firstHeaderRow="1" firstDataRow="1" firstDataCol="1"/>
  <pivotFields count="15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outline="0" multipleItemSelectionAllowed="1" showAll="0">
      <items count="3">
        <item x="0"/>
        <item x="1"/>
        <item t="default"/>
      </items>
    </pivotField>
    <pivotField compact="0" outline="0" multipleItemSelectionAllowed="1" showAll="0"/>
    <pivotField compact="0" outline="0" multipleItemSelectionAllowed="1" numFmtId="178" showAll="0"/>
    <pivotField compact="0" outline="0" multipleItemSelectionAllowed="1" showAll="0"/>
    <pivotField compact="0" outline="0" multipleItemSelectionAllowed="1" numFmtId="178" showAll="0"/>
    <pivotField compact="0" outline="0" multipleItemSelectionAllowed="1" showAll="0"/>
    <pivotField compact="0" outline="0" multipleItemSelectionAllowed="1" numFmtId="2" showAll="0"/>
    <pivotField compact="0" outline="0" multipleItemSelectionAllowed="1" numFmtId="2" showAll="0"/>
    <pivotField compact="0" outline="0" multipleItemSelectionAllowed="1" numFmtId="2" showAll="0"/>
    <pivotField compact="0" outline="0" multipleItemSelectionAllowed="1" numFmtId="2" showAll="0"/>
    <pivotField dataField="1" compact="0" outline="0" multipleItemSelectionAllowed="1" numFmtId="2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Total Profit" fld="14" baseField="0" baseItem="0"/>
  </dataFields>
  <pivotTableStyleInfo showRowHeaders="1" showColHeaders="1"/>
</pivotTableDefinition>
</file>

<file path=xl/pivotTables/pivotTable3.xml><?xml version="1.0" encoding="utf-8"?>
<pivotTableDefinition xmlns="http://schemas.openxmlformats.org/spreadsheetml/2006/main" name="Profit by year &amp; sc" cacheId="1" autoFormatId="1" applyNumberFormats="0" applyBorderFormats="0" applyFontFormats="0" applyPatternFormats="0" applyAlignmentFormats="0" applyWidthHeightFormats="1" dataCaption="" updatedVersion="5" compact="0" compactData="0" showDrill="1">
  <location ref="A1:D11" firstHeaderRow="1" firstDataRow="2" firstDataCol="1"/>
  <pivotFields count="15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Col" compact="0" outline="0" multipleItemSelectionAllowed="1" showAll="0">
      <items count="3">
        <item x="0"/>
        <item x="1"/>
        <item t="default"/>
      </items>
    </pivotField>
    <pivotField compact="0" outline="0" multipleItemSelectionAllowed="1" showAll="0"/>
    <pivotField axis="axisRow" compact="0" outline="0" multipleItemSelectionAllowed="1" numFmtId="178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multipleItemSelectionAllowed="1" showAll="0"/>
    <pivotField compact="0" outline="0" multipleItemSelectionAllowed="1" numFmtId="178" showAll="0"/>
    <pivotField compact="0" outline="0" multipleItemSelectionAllowed="1" showAll="0"/>
    <pivotField compact="0" outline="0" multipleItemSelectionAllowed="1" numFmtId="2" showAll="0"/>
    <pivotField compact="0" outline="0" multipleItemSelectionAllowed="1" numFmtId="2" showAll="0"/>
    <pivotField compact="0" outline="0" multipleItemSelectionAllowed="1" numFmtId="2" showAll="0"/>
    <pivotField compact="0" outline="0" multipleItemSelectionAllowed="1" numFmtId="2" showAll="0"/>
    <pivotField dataField="1" compact="0" outline="0" multipleItemSelectionAllowed="1" numFmtId="2" showAll="0"/>
  </pivotFields>
  <rowFields count="1">
    <field x="6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Total Profit" fld="14" baseField="0" baseItem="0"/>
  </dataFields>
  <pivotTableStyleInfo showRowHeaders="1" showColHeaders="1"/>
</pivotTableDefinition>
</file>

<file path=xl/pivotTables/pivotTable4.xml><?xml version="1.0" encoding="utf-8"?>
<pivotTableDefinition xmlns="http://schemas.openxmlformats.org/spreadsheetml/2006/main" name="Profit by Country" cacheId="0" autoFormatId="1" applyNumberFormats="0" applyBorderFormats="0" applyFontFormats="0" applyPatternFormats="0" applyAlignmentFormats="0" applyWidthHeightFormats="1" dataCaption="" updatedVersion="5" rowGrandTotals="0" compact="0" compactData="0" showDrill="1" chartFormat="4">
  <location ref="A1:B26" firstHeaderRow="1" firstDataRow="1" firstDataCol="1"/>
  <pivotFields count="15">
    <pivotField compact="0" outline="0" multipleItemSelectionAllowed="1" showAll="0">
      <items count="8">
        <item x="3"/>
        <item x="0"/>
        <item x="4"/>
        <item x="1"/>
        <item x="6"/>
        <item x="2"/>
        <item x="5"/>
        <item t="default"/>
      </items>
    </pivotField>
    <pivotField axis="axisRow" compact="0" outline="0" multipleItemSelectionAllowed="1" showAll="0">
      <items count="26">
        <item x="13"/>
        <item x="7"/>
        <item x="24"/>
        <item x="2"/>
        <item x="12"/>
        <item x="22"/>
        <item x="21"/>
        <item x="11"/>
        <item x="1"/>
        <item x="16"/>
        <item x="0"/>
        <item x="17"/>
        <item x="23"/>
        <item x="3"/>
        <item x="5"/>
        <item x="9"/>
        <item x="14"/>
        <item x="19"/>
        <item x="4"/>
        <item x="18"/>
        <item x="15"/>
        <item x="10"/>
        <item x="6"/>
        <item x="20"/>
        <item x="8"/>
        <item t="default"/>
      </items>
    </pivotField>
    <pivotField compact="0" outline="0" multipleItemSelectionAllowed="1" showAll="0">
      <items count="11">
        <item x="6"/>
        <item x="2"/>
        <item x="4"/>
        <item x="9"/>
        <item x="1"/>
        <item x="7"/>
        <item x="0"/>
        <item x="3"/>
        <item x="8"/>
        <item x="5"/>
        <item t="default"/>
      </items>
    </pivotField>
    <pivotField compact="0" outline="0" multipleItemSelectionAllowed="1" showAll="0">
      <items count="23">
        <item x="20"/>
        <item x="4"/>
        <item x="15"/>
        <item x="0"/>
        <item x="18"/>
        <item x="9"/>
        <item x="19"/>
        <item x="13"/>
        <item x="8"/>
        <item x="2"/>
        <item x="5"/>
        <item x="10"/>
        <item x="17"/>
        <item x="12"/>
        <item x="7"/>
        <item x="14"/>
        <item x="3"/>
        <item x="16"/>
        <item x="21"/>
        <item x="1"/>
        <item x="11"/>
        <item x="6"/>
        <item t="default"/>
      </items>
    </pivotField>
    <pivotField compact="0" outline="0" multipleItemSelectionAllowed="1" showAll="0">
      <items count="3">
        <item x="0"/>
        <item x="1"/>
        <item t="default"/>
      </items>
    </pivotField>
    <pivotField compact="0" outline="0" multipleItemSelectionAllowed="1" showAll="0">
      <items count="5">
        <item x="0"/>
        <item x="3"/>
        <item x="2"/>
        <item x="1"/>
        <item t="default"/>
      </items>
    </pivotField>
    <pivotField compact="0" outline="0" multipleItemSelectionAllowed="1" numFmtId="178" showAll="0">
      <items count="147">
        <item x="96"/>
        <item x="43"/>
        <item x="140"/>
        <item x="143"/>
        <item x="68"/>
        <item x="59"/>
        <item x="81"/>
        <item x="23"/>
        <item x="11"/>
        <item x="102"/>
        <item x="95"/>
        <item x="73"/>
        <item x="44"/>
        <item x="130"/>
        <item x="8"/>
        <item x="88"/>
        <item x="132"/>
        <item x="10"/>
        <item x="129"/>
        <item x="34"/>
        <item x="0"/>
        <item x="119"/>
        <item x="13"/>
        <item x="110"/>
        <item x="15"/>
        <item x="37"/>
        <item x="106"/>
        <item x="4"/>
        <item x="115"/>
        <item x="138"/>
        <item x="24"/>
        <item x="85"/>
        <item x="71"/>
        <item x="86"/>
        <item x="40"/>
        <item x="113"/>
        <item x="98"/>
        <item x="66"/>
        <item x="1"/>
        <item x="79"/>
        <item x="112"/>
        <item x="31"/>
        <item x="54"/>
        <item x="41"/>
        <item x="22"/>
        <item x="14"/>
        <item x="62"/>
        <item x="32"/>
        <item x="121"/>
        <item x="48"/>
        <item x="27"/>
        <item x="6"/>
        <item x="90"/>
        <item x="105"/>
        <item x="145"/>
        <item x="46"/>
        <item x="109"/>
        <item x="36"/>
        <item x="61"/>
        <item x="60"/>
        <item x="77"/>
        <item x="69"/>
        <item x="128"/>
        <item x="137"/>
        <item x="17"/>
        <item x="116"/>
        <item x="52"/>
        <item x="29"/>
        <item x="94"/>
        <item x="97"/>
        <item x="78"/>
        <item x="108"/>
        <item x="18"/>
        <item x="92"/>
        <item x="89"/>
        <item x="75"/>
        <item x="20"/>
        <item x="114"/>
        <item x="28"/>
        <item x="39"/>
        <item x="141"/>
        <item x="35"/>
        <item x="122"/>
        <item x="65"/>
        <item x="25"/>
        <item x="45"/>
        <item x="117"/>
        <item x="64"/>
        <item x="133"/>
        <item x="76"/>
        <item x="12"/>
        <item x="30"/>
        <item x="125"/>
        <item x="72"/>
        <item x="7"/>
        <item x="120"/>
        <item x="101"/>
        <item x="19"/>
        <item x="100"/>
        <item x="111"/>
        <item x="91"/>
        <item x="126"/>
        <item x="56"/>
        <item x="107"/>
        <item x="136"/>
        <item x="82"/>
        <item x="74"/>
        <item x="47"/>
        <item x="2"/>
        <item x="42"/>
        <item x="118"/>
        <item x="87"/>
        <item x="21"/>
        <item x="67"/>
        <item x="33"/>
        <item x="127"/>
        <item x="58"/>
        <item x="55"/>
        <item x="26"/>
        <item x="38"/>
        <item x="135"/>
        <item x="5"/>
        <item x="103"/>
        <item x="9"/>
        <item x="49"/>
        <item x="134"/>
        <item x="83"/>
        <item x="124"/>
        <item x="139"/>
        <item x="16"/>
        <item x="70"/>
        <item x="144"/>
        <item x="123"/>
        <item x="3"/>
        <item x="51"/>
        <item x="93"/>
        <item x="142"/>
        <item x="53"/>
        <item x="80"/>
        <item x="50"/>
        <item x="63"/>
        <item x="104"/>
        <item x="131"/>
        <item x="99"/>
        <item x="84"/>
        <item x="57"/>
        <item t="default"/>
      </items>
    </pivotField>
    <pivotField compact="0" outline="0" multipleItemSelectionAllowed="1" showAll="0">
      <items count="151">
        <item x="146"/>
        <item x="32"/>
        <item x="24"/>
        <item x="20"/>
        <item x="19"/>
        <item x="89"/>
        <item x="111"/>
        <item x="135"/>
        <item x="72"/>
        <item x="100"/>
        <item x="82"/>
        <item x="122"/>
        <item x="5"/>
        <item x="126"/>
        <item x="23"/>
        <item x="90"/>
        <item x="115"/>
        <item x="113"/>
        <item x="13"/>
        <item x="44"/>
        <item x="2"/>
        <item x="26"/>
        <item x="136"/>
        <item x="59"/>
        <item x="70"/>
        <item x="101"/>
        <item x="42"/>
        <item x="16"/>
        <item x="69"/>
        <item x="130"/>
        <item x="76"/>
        <item x="68"/>
        <item x="99"/>
        <item x="55"/>
        <item x="94"/>
        <item x="0"/>
        <item x="4"/>
        <item x="102"/>
        <item x="39"/>
        <item x="64"/>
        <item x="14"/>
        <item x="138"/>
        <item x="47"/>
        <item x="79"/>
        <item x="98"/>
        <item x="124"/>
        <item x="37"/>
        <item x="66"/>
        <item x="34"/>
        <item x="38"/>
        <item x="105"/>
        <item x="108"/>
        <item x="41"/>
        <item x="88"/>
        <item x="63"/>
        <item x="1"/>
        <item x="120"/>
        <item x="43"/>
        <item x="87"/>
        <item x="92"/>
        <item x="128"/>
        <item x="60"/>
        <item x="58"/>
        <item x="133"/>
        <item x="112"/>
        <item x="27"/>
        <item x="114"/>
        <item x="84"/>
        <item x="7"/>
        <item x="62"/>
        <item x="116"/>
        <item x="129"/>
        <item x="93"/>
        <item x="48"/>
        <item x="10"/>
        <item x="103"/>
        <item x="117"/>
        <item x="8"/>
        <item x="95"/>
        <item x="119"/>
        <item x="81"/>
        <item x="3"/>
        <item x="127"/>
        <item x="118"/>
        <item x="73"/>
        <item x="31"/>
        <item x="109"/>
        <item x="56"/>
        <item x="22"/>
        <item x="134"/>
        <item x="125"/>
        <item x="54"/>
        <item x="110"/>
        <item x="33"/>
        <item x="137"/>
        <item x="140"/>
        <item x="75"/>
        <item x="49"/>
        <item x="12"/>
        <item x="61"/>
        <item x="142"/>
        <item x="80"/>
        <item x="131"/>
        <item x="51"/>
        <item x="9"/>
        <item x="83"/>
        <item x="28"/>
        <item x="25"/>
        <item x="40"/>
        <item x="67"/>
        <item x="85"/>
        <item x="74"/>
        <item x="57"/>
        <item x="96"/>
        <item x="52"/>
        <item x="53"/>
        <item x="148"/>
        <item x="46"/>
        <item x="97"/>
        <item x="145"/>
        <item x="106"/>
        <item x="141"/>
        <item x="18"/>
        <item x="121"/>
        <item x="29"/>
        <item x="71"/>
        <item x="78"/>
        <item x="86"/>
        <item x="65"/>
        <item x="17"/>
        <item x="45"/>
        <item x="35"/>
        <item x="21"/>
        <item x="104"/>
        <item x="107"/>
        <item x="50"/>
        <item x="143"/>
        <item x="36"/>
        <item x="30"/>
        <item x="15"/>
        <item x="149"/>
        <item x="91"/>
        <item x="11"/>
        <item x="147"/>
        <item x="77"/>
        <item x="144"/>
        <item x="139"/>
        <item x="132"/>
        <item x="6"/>
        <item x="123"/>
        <item t="default"/>
      </items>
    </pivotField>
    <pivotField compact="0" outline="0" multipleItemSelectionAllowed="1" numFmtId="178" showAll="0">
      <items count="148">
        <item x="96"/>
        <item x="43"/>
        <item x="141"/>
        <item x="58"/>
        <item x="67"/>
        <item x="144"/>
        <item x="81"/>
        <item x="11"/>
        <item x="23"/>
        <item x="102"/>
        <item x="72"/>
        <item x="95"/>
        <item x="44"/>
        <item x="130"/>
        <item x="8"/>
        <item x="88"/>
        <item x="132"/>
        <item x="10"/>
        <item x="34"/>
        <item x="129"/>
        <item x="0"/>
        <item x="119"/>
        <item x="13"/>
        <item x="110"/>
        <item x="37"/>
        <item x="15"/>
        <item x="106"/>
        <item x="4"/>
        <item x="138"/>
        <item x="115"/>
        <item x="70"/>
        <item x="24"/>
        <item x="85"/>
        <item x="40"/>
        <item x="113"/>
        <item x="98"/>
        <item x="65"/>
        <item x="78"/>
        <item x="1"/>
        <item x="112"/>
        <item x="140"/>
        <item x="31"/>
        <item x="53"/>
        <item x="22"/>
        <item x="41"/>
        <item x="14"/>
        <item x="61"/>
        <item x="32"/>
        <item x="121"/>
        <item x="27"/>
        <item x="6"/>
        <item x="47"/>
        <item x="90"/>
        <item x="105"/>
        <item x="146"/>
        <item x="45"/>
        <item x="109"/>
        <item x="36"/>
        <item x="76"/>
        <item x="60"/>
        <item x="59"/>
        <item x="79"/>
        <item x="68"/>
        <item x="128"/>
        <item x="137"/>
        <item x="116"/>
        <item x="17"/>
        <item x="97"/>
        <item x="77"/>
        <item x="51"/>
        <item x="29"/>
        <item x="94"/>
        <item x="108"/>
        <item x="18"/>
        <item x="92"/>
        <item x="89"/>
        <item x="114"/>
        <item x="20"/>
        <item x="74"/>
        <item x="28"/>
        <item x="39"/>
        <item x="142"/>
        <item x="35"/>
        <item x="122"/>
        <item x="64"/>
        <item x="25"/>
        <item x="63"/>
        <item x="117"/>
        <item x="75"/>
        <item x="133"/>
        <item x="12"/>
        <item x="125"/>
        <item x="30"/>
        <item x="71"/>
        <item x="120"/>
        <item x="101"/>
        <item x="7"/>
        <item x="19"/>
        <item x="91"/>
        <item x="111"/>
        <item x="100"/>
        <item x="126"/>
        <item x="55"/>
        <item x="107"/>
        <item x="136"/>
        <item x="82"/>
        <item x="73"/>
        <item x="46"/>
        <item x="2"/>
        <item x="42"/>
        <item x="118"/>
        <item x="87"/>
        <item x="66"/>
        <item x="21"/>
        <item x="33"/>
        <item x="127"/>
        <item x="57"/>
        <item x="54"/>
        <item x="38"/>
        <item x="26"/>
        <item x="135"/>
        <item x="5"/>
        <item x="48"/>
        <item x="134"/>
        <item x="9"/>
        <item x="83"/>
        <item x="103"/>
        <item x="86"/>
        <item x="124"/>
        <item x="139"/>
        <item x="16"/>
        <item x="145"/>
        <item x="69"/>
        <item x="3"/>
        <item x="123"/>
        <item x="93"/>
        <item x="50"/>
        <item x="52"/>
        <item x="143"/>
        <item x="49"/>
        <item x="80"/>
        <item x="62"/>
        <item x="131"/>
        <item x="104"/>
        <item x="99"/>
        <item x="84"/>
        <item x="56"/>
        <item t="default"/>
      </items>
    </pivotField>
    <pivotField compact="0" outline="0" multipleItemSelectionAllowed="1" showAll="0">
      <items count="150">
        <item x="73"/>
        <item x="97"/>
        <item x="83"/>
        <item x="33"/>
        <item x="75"/>
        <item x="122"/>
        <item x="38"/>
        <item x="133"/>
        <item x="41"/>
        <item x="110"/>
        <item x="30"/>
        <item x="32"/>
        <item x="52"/>
        <item x="79"/>
        <item x="67"/>
        <item x="144"/>
        <item x="89"/>
        <item x="19"/>
        <item x="62"/>
        <item x="95"/>
        <item x="101"/>
        <item x="47"/>
        <item x="94"/>
        <item x="39"/>
        <item x="68"/>
        <item x="9"/>
        <item x="99"/>
        <item x="129"/>
        <item x="112"/>
        <item x="42"/>
        <item x="134"/>
        <item x="118"/>
        <item x="107"/>
        <item x="37"/>
        <item x="55"/>
        <item x="49"/>
        <item x="105"/>
        <item x="11"/>
        <item x="15"/>
        <item x="128"/>
        <item x="78"/>
        <item x="35"/>
        <item x="127"/>
        <item x="102"/>
        <item x="132"/>
        <item x="120"/>
        <item x="16"/>
        <item x="146"/>
        <item x="6"/>
        <item x="141"/>
        <item x="3"/>
        <item x="148"/>
        <item x="51"/>
        <item x="135"/>
        <item x="26"/>
        <item x="22"/>
        <item x="131"/>
        <item x="84"/>
        <item x="96"/>
        <item x="58"/>
        <item x="18"/>
        <item x="115"/>
        <item x="13"/>
        <item x="59"/>
        <item x="28"/>
        <item x="124"/>
        <item x="27"/>
        <item x="50"/>
        <item x="34"/>
        <item x="80"/>
        <item x="20"/>
        <item x="44"/>
        <item x="8"/>
        <item x="43"/>
        <item x="12"/>
        <item x="125"/>
        <item x="14"/>
        <item x="90"/>
        <item x="21"/>
        <item x="137"/>
        <item x="0"/>
        <item x="147"/>
        <item x="117"/>
        <item x="25"/>
        <item x="113"/>
        <item x="109"/>
        <item x="10"/>
        <item x="140"/>
        <item x="104"/>
        <item x="121"/>
        <item x="31"/>
        <item x="116"/>
        <item x="111"/>
        <item x="85"/>
        <item x="36"/>
        <item x="143"/>
        <item x="72"/>
        <item x="139"/>
        <item x="63"/>
        <item x="69"/>
        <item x="142"/>
        <item x="81"/>
        <item x="23"/>
        <item x="98"/>
        <item x="77"/>
        <item x="130"/>
        <item x="48"/>
        <item x="40"/>
        <item x="17"/>
        <item x="86"/>
        <item x="71"/>
        <item x="1"/>
        <item x="87"/>
        <item x="70"/>
        <item x="76"/>
        <item x="88"/>
        <item x="56"/>
        <item x="46"/>
        <item x="74"/>
        <item x="4"/>
        <item x="54"/>
        <item x="45"/>
        <item x="7"/>
        <item x="91"/>
        <item x="60"/>
        <item x="93"/>
        <item x="119"/>
        <item x="126"/>
        <item x="138"/>
        <item x="5"/>
        <item x="92"/>
        <item x="145"/>
        <item x="108"/>
        <item x="29"/>
        <item x="114"/>
        <item x="103"/>
        <item x="136"/>
        <item x="2"/>
        <item x="64"/>
        <item x="57"/>
        <item x="65"/>
        <item x="61"/>
        <item x="53"/>
        <item x="100"/>
        <item x="123"/>
        <item x="66"/>
        <item x="106"/>
        <item x="82"/>
        <item x="24"/>
        <item t="default"/>
      </items>
    </pivotField>
    <pivotField compact="0" outline="0" multipleItemSelectionAllowed="1" numFmtId="2" showAll="0">
      <items count="11">
        <item x="7"/>
        <item x="2"/>
        <item x="9"/>
        <item x="8"/>
        <item x="5"/>
        <item x="4"/>
        <item x="6"/>
        <item x="1"/>
        <item x="3"/>
        <item x="0"/>
        <item t="default"/>
      </items>
    </pivotField>
    <pivotField compact="0" outline="0" multipleItemSelectionAllowed="1" numFmtId="2" showAll="0">
      <items count="11">
        <item x="7"/>
        <item x="2"/>
        <item x="9"/>
        <item x="5"/>
        <item x="8"/>
        <item x="4"/>
        <item x="6"/>
        <item x="1"/>
        <item x="0"/>
        <item x="3"/>
        <item t="default"/>
      </items>
    </pivotField>
    <pivotField compact="0" outline="0" multipleItemSelectionAllowed="1" numFmtId="2" showAll="0">
      <items count="151">
        <item x="52"/>
        <item x="102"/>
        <item x="55"/>
        <item x="15"/>
        <item x="35"/>
        <item x="103"/>
        <item x="36"/>
        <item x="77"/>
        <item x="33"/>
        <item x="87"/>
        <item x="79"/>
        <item x="74"/>
        <item x="60"/>
        <item x="145"/>
        <item x="120"/>
        <item x="98"/>
        <item x="83"/>
        <item x="75"/>
        <item x="95"/>
        <item x="73"/>
        <item x="123"/>
        <item x="38"/>
        <item x="42"/>
        <item x="11"/>
        <item x="128"/>
        <item x="134"/>
        <item x="121"/>
        <item x="16"/>
        <item x="3"/>
        <item x="111"/>
        <item x="96"/>
        <item x="22"/>
        <item x="50"/>
        <item x="39"/>
        <item x="14"/>
        <item x="90"/>
        <item x="100"/>
        <item x="62"/>
        <item x="47"/>
        <item x="41"/>
        <item x="40"/>
        <item x="17"/>
        <item x="54"/>
        <item x="45"/>
        <item x="115"/>
        <item x="147"/>
        <item x="107"/>
        <item x="149"/>
        <item x="37"/>
        <item x="19"/>
        <item x="113"/>
        <item x="32"/>
        <item x="119"/>
        <item x="130"/>
        <item x="136"/>
        <item x="132"/>
        <item x="69"/>
        <item x="23"/>
        <item x="28"/>
        <item x="27"/>
        <item x="48"/>
        <item x="108"/>
        <item x="133"/>
        <item x="21"/>
        <item x="6"/>
        <item x="30"/>
        <item x="138"/>
        <item x="127"/>
        <item x="110"/>
        <item x="114"/>
        <item x="78"/>
        <item x="105"/>
        <item x="59"/>
        <item x="72"/>
        <item x="143"/>
        <item x="81"/>
        <item x="101"/>
        <item x="124"/>
        <item x="67"/>
        <item x="142"/>
        <item x="24"/>
        <item x="89"/>
        <item x="91"/>
        <item x="58"/>
        <item x="7"/>
        <item x="13"/>
        <item x="94"/>
        <item x="139"/>
        <item x="44"/>
        <item x="31"/>
        <item x="112"/>
        <item x="109"/>
        <item x="144"/>
        <item x="137"/>
        <item x="49"/>
        <item x="61"/>
        <item x="53"/>
        <item x="68"/>
        <item x="66"/>
        <item x="25"/>
        <item x="9"/>
        <item x="56"/>
        <item x="10"/>
        <item x="122"/>
        <item x="85"/>
        <item x="5"/>
        <item x="65"/>
        <item x="51"/>
        <item x="135"/>
        <item x="84"/>
        <item x="106"/>
        <item x="34"/>
        <item x="20"/>
        <item x="64"/>
        <item x="129"/>
        <item x="82"/>
        <item x="141"/>
        <item x="26"/>
        <item x="18"/>
        <item x="97"/>
        <item x="116"/>
        <item x="70"/>
        <item x="125"/>
        <item x="80"/>
        <item x="76"/>
        <item x="46"/>
        <item x="8"/>
        <item x="43"/>
        <item x="12"/>
        <item x="126"/>
        <item x="29"/>
        <item x="104"/>
        <item x="2"/>
        <item x="0"/>
        <item x="148"/>
        <item x="57"/>
        <item x="118"/>
        <item x="140"/>
        <item x="117"/>
        <item x="63"/>
        <item x="99"/>
        <item x="131"/>
        <item x="86"/>
        <item x="71"/>
        <item x="1"/>
        <item x="88"/>
        <item x="4"/>
        <item x="92"/>
        <item x="93"/>
        <item x="146"/>
        <item t="default"/>
      </items>
    </pivotField>
    <pivotField compact="0" outline="0" multipleItemSelectionAllowed="1" numFmtId="2" showAll="0">
      <items count="151">
        <item x="52"/>
        <item x="102"/>
        <item x="55"/>
        <item x="33"/>
        <item x="15"/>
        <item x="35"/>
        <item x="103"/>
        <item x="75"/>
        <item x="123"/>
        <item x="38"/>
        <item x="36"/>
        <item x="79"/>
        <item x="98"/>
        <item x="77"/>
        <item x="87"/>
        <item x="145"/>
        <item x="83"/>
        <item x="74"/>
        <item x="60"/>
        <item x="120"/>
        <item x="73"/>
        <item x="95"/>
        <item x="96"/>
        <item x="39"/>
        <item x="100"/>
        <item x="42"/>
        <item x="134"/>
        <item x="11"/>
        <item x="128"/>
        <item x="121"/>
        <item x="16"/>
        <item x="111"/>
        <item x="3"/>
        <item x="147"/>
        <item x="22"/>
        <item x="149"/>
        <item x="50"/>
        <item x="14"/>
        <item x="90"/>
        <item x="62"/>
        <item x="41"/>
        <item x="47"/>
        <item x="40"/>
        <item x="17"/>
        <item x="69"/>
        <item x="23"/>
        <item x="48"/>
        <item x="54"/>
        <item x="45"/>
        <item x="115"/>
        <item x="37"/>
        <item x="19"/>
        <item x="127"/>
        <item x="107"/>
        <item x="113"/>
        <item x="101"/>
        <item x="124"/>
        <item x="24"/>
        <item x="119"/>
        <item x="32"/>
        <item x="130"/>
        <item x="136"/>
        <item x="132"/>
        <item x="133"/>
        <item x="28"/>
        <item x="27"/>
        <item x="108"/>
        <item x="6"/>
        <item x="138"/>
        <item x="21"/>
        <item x="114"/>
        <item x="59"/>
        <item x="105"/>
        <item x="72"/>
        <item x="110"/>
        <item x="78"/>
        <item x="143"/>
        <item x="81"/>
        <item x="142"/>
        <item x="30"/>
        <item x="91"/>
        <item x="7"/>
        <item x="31"/>
        <item x="112"/>
        <item x="94"/>
        <item x="58"/>
        <item x="144"/>
        <item x="139"/>
        <item x="13"/>
        <item x="67"/>
        <item x="44"/>
        <item x="53"/>
        <item x="49"/>
        <item x="109"/>
        <item x="89"/>
        <item x="137"/>
        <item x="56"/>
        <item x="61"/>
        <item x="66"/>
        <item x="25"/>
        <item x="10"/>
        <item x="5"/>
        <item x="122"/>
        <item x="85"/>
        <item x="65"/>
        <item x="51"/>
        <item x="68"/>
        <item x="84"/>
        <item x="9"/>
        <item x="34"/>
        <item x="20"/>
        <item x="64"/>
        <item x="82"/>
        <item x="135"/>
        <item x="141"/>
        <item x="106"/>
        <item x="129"/>
        <item x="70"/>
        <item x="76"/>
        <item x="46"/>
        <item x="26"/>
        <item x="29"/>
        <item x="104"/>
        <item x="97"/>
        <item x="2"/>
        <item x="57"/>
        <item x="116"/>
        <item x="125"/>
        <item x="18"/>
        <item x="8"/>
        <item x="43"/>
        <item x="80"/>
        <item x="12"/>
        <item x="126"/>
        <item x="0"/>
        <item x="148"/>
        <item x="118"/>
        <item x="117"/>
        <item x="63"/>
        <item x="99"/>
        <item x="140"/>
        <item x="131"/>
        <item x="86"/>
        <item x="71"/>
        <item x="1"/>
        <item x="88"/>
        <item x="4"/>
        <item x="92"/>
        <item x="146"/>
        <item x="93"/>
        <item t="default"/>
      </items>
    </pivotField>
    <pivotField dataField="1" compact="0" outline="0" multipleItemSelectionAllowed="1" numFmtId="2" showAll="0">
      <items count="151">
        <item x="52"/>
        <item x="102"/>
        <item x="55"/>
        <item x="15"/>
        <item x="35"/>
        <item x="103"/>
        <item x="36"/>
        <item x="77"/>
        <item x="87"/>
        <item x="74"/>
        <item x="60"/>
        <item x="120"/>
        <item x="79"/>
        <item x="145"/>
        <item x="83"/>
        <item x="98"/>
        <item x="95"/>
        <item x="73"/>
        <item x="42"/>
        <item x="33"/>
        <item x="11"/>
        <item x="75"/>
        <item x="128"/>
        <item x="121"/>
        <item x="16"/>
        <item x="3"/>
        <item x="22"/>
        <item x="111"/>
        <item x="134"/>
        <item x="50"/>
        <item x="123"/>
        <item x="14"/>
        <item x="90"/>
        <item x="38"/>
        <item x="40"/>
        <item x="17"/>
        <item x="47"/>
        <item x="41"/>
        <item x="62"/>
        <item x="54"/>
        <item x="45"/>
        <item x="115"/>
        <item x="96"/>
        <item x="107"/>
        <item x="39"/>
        <item x="30"/>
        <item x="100"/>
        <item x="19"/>
        <item x="37"/>
        <item x="89"/>
        <item x="130"/>
        <item x="136"/>
        <item x="113"/>
        <item x="32"/>
        <item x="132"/>
        <item x="67"/>
        <item x="28"/>
        <item x="27"/>
        <item x="119"/>
        <item x="68"/>
        <item x="147"/>
        <item x="108"/>
        <item x="9"/>
        <item x="21"/>
        <item x="149"/>
        <item x="110"/>
        <item x="133"/>
        <item x="143"/>
        <item x="78"/>
        <item x="81"/>
        <item x="138"/>
        <item x="6"/>
        <item x="135"/>
        <item x="114"/>
        <item x="105"/>
        <item x="91"/>
        <item x="142"/>
        <item x="72"/>
        <item x="106"/>
        <item x="59"/>
        <item x="58"/>
        <item x="129"/>
        <item x="13"/>
        <item x="69"/>
        <item x="109"/>
        <item x="23"/>
        <item x="44"/>
        <item x="137"/>
        <item x="7"/>
        <item x="61"/>
        <item x="48"/>
        <item x="94"/>
        <item x="139"/>
        <item x="66"/>
        <item x="49"/>
        <item x="31"/>
        <item x="112"/>
        <item x="144"/>
        <item x="25"/>
        <item x="53"/>
        <item x="10"/>
        <item x="18"/>
        <item x="122"/>
        <item x="85"/>
        <item x="127"/>
        <item x="80"/>
        <item x="56"/>
        <item x="101"/>
        <item x="124"/>
        <item x="24"/>
        <item x="26"/>
        <item x="5"/>
        <item x="51"/>
        <item x="97"/>
        <item x="116"/>
        <item x="125"/>
        <item x="84"/>
        <item x="65"/>
        <item x="140"/>
        <item x="8"/>
        <item x="64"/>
        <item x="43"/>
        <item x="34"/>
        <item x="20"/>
        <item x="12"/>
        <item x="126"/>
        <item x="82"/>
        <item x="88"/>
        <item x="0"/>
        <item x="148"/>
        <item x="4"/>
        <item x="92"/>
        <item x="118"/>
        <item x="117"/>
        <item x="63"/>
        <item x="93"/>
        <item x="141"/>
        <item x="99"/>
        <item x="131"/>
        <item x="86"/>
        <item x="71"/>
        <item x="1"/>
        <item x="70"/>
        <item x="76"/>
        <item x="46"/>
        <item x="146"/>
        <item x="29"/>
        <item x="104"/>
        <item x="2"/>
        <item x="57"/>
        <item t="default"/>
      </items>
    </pivotField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</rowItems>
  <colItems count="1">
    <i/>
  </colItems>
  <dataFields count="1">
    <dataField name="SUM of Total Profit" fld="14" baseField="0" baseItem="0"/>
  </dataFields>
  <pivotTableStyleInfo showRowHeaders="1" showColHeaders="1"/>
</pivotTableDefinition>
</file>

<file path=xl/pivotTables/pivotTable5.xml><?xml version="1.0" encoding="utf-8"?>
<pivotTableDefinition xmlns="http://schemas.openxmlformats.org/spreadsheetml/2006/main" name="Profit by Year" cacheId="2" autoFormatId="1" applyNumberFormats="0" applyBorderFormats="0" applyFontFormats="0" applyPatternFormats="0" applyAlignmentFormats="0" applyWidthHeightFormats="1" dataCaption="" updatedVersion="5" compact="0" compactData="0" showDrill="1">
  <location ref="A1:B10" firstHeaderRow="1" firstDataRow="1" firstDataCol="1"/>
  <pivotFields count="15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outline="0" multipleItemSelectionAllowed="1" numFmtId="178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multipleItemSelectionAllowed="1" showAll="0"/>
    <pivotField compact="0" outline="0" multipleItemSelectionAllowed="1" numFmtId="178" showAll="0"/>
    <pivotField compact="0" outline="0" multipleItemSelectionAllowed="1" showAll="0"/>
    <pivotField compact="0" outline="0" multipleItemSelectionAllowed="1" numFmtId="2" showAll="0"/>
    <pivotField compact="0" outline="0" multipleItemSelectionAllowed="1" numFmtId="2" showAll="0"/>
    <pivotField compact="0" outline="0" multipleItemSelectionAllowed="1" numFmtId="2" showAll="0"/>
    <pivotField compact="0" outline="0" multipleItemSelectionAllowed="1" numFmtId="2" showAll="0"/>
    <pivotField dataField="1" compact="0" outline="0" multipleItemSelectionAllowed="1" numFmtId="2" showAll="0"/>
  </pivotFields>
  <rowFields count="1">
    <field x="6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 Profit" fld="14" baseField="0" baseItem="0"/>
  </dataFields>
  <pivotTableStyleInfo showRowHeaders="1" showColHeaders="1"/>
</pivotTableDefinition>
</file>

<file path=xl/pivotTables/pivotTable6.xml><?xml version="1.0" encoding="utf-8"?>
<pivotTableDefinition xmlns="http://schemas.openxmlformats.org/spreadsheetml/2006/main" name="Rev by Items" cacheId="0" autoFormatId="1" applyNumberFormats="0" applyBorderFormats="0" applyFontFormats="0" applyPatternFormats="0" applyAlignmentFormats="0" applyWidthHeightFormats="1" dataCaption="" updatedVersion="5" compact="0" compactData="0" showDrill="1">
  <location ref="A1:B12" firstHeaderRow="1" firstDataRow="1" firstDataCol="1"/>
  <pivotFields count="15">
    <pivotField compact="0" outline="0" multipleItemSelectionAllowed="1" showAll="0"/>
    <pivotField compact="0" outline="0" multipleItemSelectionAllowed="1" showAll="0"/>
    <pivotField axis="axisRow" compact="0" outline="0" multipleItemSelectionAllowed="1" showAll="0">
      <items count="11">
        <item x="6"/>
        <item x="2"/>
        <item x="4"/>
        <item x="9"/>
        <item x="1"/>
        <item x="7"/>
        <item x="0"/>
        <item x="3"/>
        <item x="8"/>
        <item x="5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numFmtId="178" showAll="0"/>
    <pivotField compact="0" outline="0" multipleItemSelectionAllowed="1" showAll="0"/>
    <pivotField compact="0" outline="0" multipleItemSelectionAllowed="1" numFmtId="178" showAll="0"/>
    <pivotField compact="0" outline="0" multipleItemSelectionAllowed="1" showAll="0"/>
    <pivotField compact="0" outline="0" multipleItemSelectionAllowed="1" numFmtId="2" showAll="0"/>
    <pivotField compact="0" outline="0" multipleItemSelectionAllowed="1" numFmtId="2" showAll="0"/>
    <pivotField dataField="1" compact="0" outline="0" multipleItemSelectionAllowed="1" numFmtId="2" showAll="0"/>
    <pivotField compact="0" outline="0" multipleItemSelectionAllowed="1" numFmtId="2" showAll="0"/>
    <pivotField compact="0" outline="0" multipleItemSelectionAllowed="1" numFmtId="2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Revenue" fld="12" baseField="0" baseItem="0"/>
  </dataFields>
  <pivotTableStyleInfo showRowHeaders="1" showColHeaders="1"/>
</pivotTableDefinition>
</file>

<file path=xl/pivotTables/pivotTable7.xml><?xml version="1.0" encoding="utf-8"?>
<pivotTableDefinition xmlns="http://schemas.openxmlformats.org/spreadsheetml/2006/main" name="Revenue by OP" cacheId="0" autoFormatId="1" applyNumberFormats="0" applyBorderFormats="0" applyFontFormats="0" applyPatternFormats="0" applyAlignmentFormats="0" applyWidthHeightFormats="1" dataCaption="" updatedVersion="5" compact="0" compactData="0" showDrill="1">
  <location ref="A1:B6" firstHeaderRow="1" firstDataRow="1" firstDataCol="1"/>
  <pivotFields count="15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outline="0" multipleItemSelectionAllowed="1" showAll="0">
      <items count="5">
        <item x="0"/>
        <item x="3"/>
        <item x="2"/>
        <item x="1"/>
        <item t="default"/>
      </items>
    </pivotField>
    <pivotField compact="0" outline="0" multipleItemSelectionAllowed="1" numFmtId="178" showAll="0"/>
    <pivotField compact="0" outline="0" multipleItemSelectionAllowed="1" showAll="0"/>
    <pivotField compact="0" outline="0" multipleItemSelectionAllowed="1" numFmtId="178" showAll="0"/>
    <pivotField compact="0" outline="0" multipleItemSelectionAllowed="1" showAll="0"/>
    <pivotField compact="0" outline="0" multipleItemSelectionAllowed="1" numFmtId="2" showAll="0"/>
    <pivotField compact="0" outline="0" multipleItemSelectionAllowed="1" numFmtId="2" showAll="0"/>
    <pivotField dataField="1" compact="0" outline="0" multipleItemSelectionAllowed="1" numFmtId="2" showAll="0"/>
    <pivotField compact="0" outline="0" multipleItemSelectionAllowed="1" numFmtId="2" showAll="0"/>
    <pivotField compact="0" outline="0" multipleItemSelectionAllowed="1" numFmtId="2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Revenue" fld="12" baseField="0" baseItem="0"/>
  </dataFields>
  <pivotTableStyleInfo showRowHeaders="1" showColHeaders="1"/>
</pivotTableDefinition>
</file>

<file path=xl/pivotTables/pivotTable8.xml><?xml version="1.0" encoding="utf-8"?>
<pivotTableDefinition xmlns="http://schemas.openxmlformats.org/spreadsheetml/2006/main" name="Revenue by Countries" cacheId="0" autoFormatId="1" applyNumberFormats="0" applyBorderFormats="0" applyFontFormats="0" applyPatternFormats="0" applyAlignmentFormats="0" applyWidthHeightFormats="1" dataCaption="" updatedVersion="5" compact="0" compactData="0" showDrill="1">
  <location ref="A1:B27" firstHeaderRow="1" firstDataRow="1" firstDataCol="1"/>
  <pivotFields count="15">
    <pivotField compact="0" outline="0" multipleItemSelectionAllowed="1" showAll="0"/>
    <pivotField axis="axisRow" compact="0" outline="0" multipleItemSelectionAllowed="1" showAll="0">
      <items count="26">
        <item x="13"/>
        <item x="7"/>
        <item x="24"/>
        <item x="2"/>
        <item x="12"/>
        <item x="22"/>
        <item x="21"/>
        <item x="11"/>
        <item x="1"/>
        <item x="16"/>
        <item x="0"/>
        <item x="17"/>
        <item x="23"/>
        <item x="3"/>
        <item x="5"/>
        <item x="9"/>
        <item x="14"/>
        <item x="19"/>
        <item x="4"/>
        <item x="18"/>
        <item x="15"/>
        <item x="10"/>
        <item x="6"/>
        <item x="20"/>
        <item x="8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numFmtId="178" showAll="0"/>
    <pivotField compact="0" outline="0" multipleItemSelectionAllowed="1" showAll="0"/>
    <pivotField compact="0" outline="0" multipleItemSelectionAllowed="1" numFmtId="178" showAll="0"/>
    <pivotField compact="0" outline="0" multipleItemSelectionAllowed="1" showAll="0"/>
    <pivotField compact="0" outline="0" multipleItemSelectionAllowed="1" numFmtId="2" showAll="0"/>
    <pivotField compact="0" outline="0" multipleItemSelectionAllowed="1" numFmtId="2" showAll="0"/>
    <pivotField dataField="1" compact="0" outline="0" multipleItemSelectionAllowed="1" numFmtId="2" showAll="0"/>
    <pivotField compact="0" outline="0" multipleItemSelectionAllowed="1" numFmtId="2" showAll="0"/>
    <pivotField compact="0" outline="0" multipleItemSelectionAllowed="1" numFmtId="2"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Total Revenue" fld="12" baseField="0" baseItem="0"/>
  </dataFields>
  <pivotTableStyleInfo showRowHeaders="1" showColHeaders="1"/>
</pivotTableDefinition>
</file>

<file path=xl/pivotTables/pivotTable9.xml><?xml version="1.0" encoding="utf-8"?>
<pivotTableDefinition xmlns="http://schemas.openxmlformats.org/spreadsheetml/2006/main" name="Revenue &amp; Total Cost" cacheId="0" autoFormatId="1" applyNumberFormats="0" applyBorderFormats="0" applyFontFormats="0" applyPatternFormats="0" applyAlignmentFormats="0" applyWidthHeightFormats="1" dataCaption="" updatedVersion="5" compact="0" compactData="0" showDrill="1">
  <location ref="A1:C10" firstHeaderRow="1" firstDataRow="2" firstDataCol="1"/>
  <pivotFields count="15">
    <pivotField axis="axisRow" compact="0" outline="0" multipleItemSelectionAllowed="1" showAll="0">
      <items count="8">
        <item x="3"/>
        <item x="0"/>
        <item x="4"/>
        <item x="1"/>
        <item x="6"/>
        <item x="2"/>
        <item x="5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numFmtId="178" showAll="0"/>
    <pivotField compact="0" outline="0" multipleItemSelectionAllowed="1" showAll="0"/>
    <pivotField compact="0" outline="0" multipleItemSelectionAllowed="1" numFmtId="178" showAll="0"/>
    <pivotField compact="0" outline="0" multipleItemSelectionAllowed="1" showAll="0"/>
    <pivotField compact="0" outline="0" multipleItemSelectionAllowed="1" numFmtId="2" showAll="0"/>
    <pivotField compact="0" outline="0" multipleItemSelectionAllowed="1" numFmtId="2" showAll="0"/>
    <pivotField dataField="1" compact="0" outline="0" multipleItemSelectionAllowed="1" numFmtId="2" showAll="0"/>
    <pivotField dataField="1" compact="0" outline="0" multipleItemSelectionAllowed="1" numFmtId="2" showAll="0"/>
    <pivotField compact="0" outline="0" multipleItemSelectionAllowed="1" numFmtId="2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Revenue" fld="12" baseField="0" baseItem="0"/>
    <dataField name="SUM of Total Cost" fld="13" baseField="0" baseItem="0"/>
  </dataFields>
  <pivotTableStyleInfo showRowHeaders="1" showColHeaders="1"/>
</pivotTableDefinition>
</file>

<file path=xl/pivotTables/pivotTable10.xml><?xml version="1.0" encoding="utf-8"?>
<pivotTableDefinition xmlns="http://schemas.openxmlformats.org/spreadsheetml/2006/main" name="Revenue by Year and Regions" cacheId="3" autoFormatId="1" applyNumberFormats="0" applyBorderFormats="0" applyFontFormats="0" applyPatternFormats="0" applyAlignmentFormats="0" applyWidthHeightFormats="1" dataCaption="" updatedVersion="5" compact="0" compactData="0" showDrill="1">
  <location ref="A1:I11" firstHeaderRow="1" firstDataRow="2" firstDataCol="1"/>
  <pivotFields count="15">
    <pivotField axis="axisCol" compact="0" outline="0" multipleItemSelectionAllowed="1" showAll="0">
      <items count="8">
        <item x="3"/>
        <item x="0"/>
        <item x="4"/>
        <item x="1"/>
        <item x="6"/>
        <item x="2"/>
        <item x="5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outline="0" multipleItemSelectionAllowed="1" numFmtId="178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multipleItemSelectionAllowed="1" showAll="0"/>
    <pivotField compact="0" outline="0" multipleItemSelectionAllowed="1" numFmtId="178" showAll="0"/>
    <pivotField compact="0" outline="0" multipleItemSelectionAllowed="1" showAll="0"/>
    <pivotField compact="0" outline="0" multipleItemSelectionAllowed="1" numFmtId="2" showAll="0"/>
    <pivotField compact="0" outline="0" multipleItemSelectionAllowed="1" numFmtId="2" showAll="0"/>
    <pivotField dataField="1" compact="0" outline="0" multipleItemSelectionAllowed="1" numFmtId="2" showAll="0"/>
    <pivotField compact="0" outline="0" multipleItemSelectionAllowed="1" numFmtId="2" showAll="0"/>
    <pivotField compact="0" outline="0" multipleItemSelectionAllowed="1" numFmtId="2" showAll="0"/>
  </pivotFields>
  <rowFields count="1">
    <field x="6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Total Revenue" fld="12" baseField="0" baseItem="0"/>
  </dataFields>
  <pivotTableStyleInfo showRowHeaders="1" showColHeaders="1"/>
</pivotTableDefinition>
</file>

<file path=xl/pivotTables/pivotTable11.xml><?xml version="1.0" encoding="utf-8"?>
<pivotTableDefinition xmlns="http://schemas.openxmlformats.org/spreadsheetml/2006/main" name="Revenue by Year" cacheId="4" autoFormatId="1" applyNumberFormats="0" applyBorderFormats="0" applyFontFormats="0" applyPatternFormats="0" applyAlignmentFormats="0" applyWidthHeightFormats="1" dataCaption="" updatedVersion="5" compact="0" compactData="0" showDrill="1">
  <location ref="A1:B10" firstHeaderRow="1" firstDataRow="1" firstDataCol="1"/>
  <pivotFields count="15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outline="0" multipleItemSelectionAllowed="1" numFmtId="178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multipleItemSelectionAllowed="1" showAll="0"/>
    <pivotField compact="0" outline="0" multipleItemSelectionAllowed="1" numFmtId="178" showAll="0"/>
    <pivotField compact="0" outline="0" multipleItemSelectionAllowed="1" showAll="0"/>
    <pivotField compact="0" outline="0" multipleItemSelectionAllowed="1" numFmtId="2" showAll="0"/>
    <pivotField compact="0" outline="0" multipleItemSelectionAllowed="1" numFmtId="2" showAll="0"/>
    <pivotField dataField="1" compact="0" outline="0" multipleItemSelectionAllowed="1" numFmtId="2" showAll="0"/>
    <pivotField compact="0" outline="0" multipleItemSelectionAllowed="1" numFmtId="2" showAll="0"/>
    <pivotField compact="0" outline="0" multipleItemSelectionAllowed="1" numFmtId="2" showAll="0"/>
  </pivotFields>
  <rowFields count="1">
    <field x="6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 Revenue" fld="12" baseField="0" baseItem="0"/>
  </dataFields>
  <pivotTableStyleInfo showRowHeaders="1" showColHeaders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00"/>
  <sheetViews>
    <sheetView topLeftCell="B1" workbookViewId="0">
      <selection activeCell="P1" sqref="P1"/>
    </sheetView>
  </sheetViews>
  <sheetFormatPr defaultColWidth="14.4285714285714" defaultRowHeight="15" customHeight="1"/>
  <cols>
    <col min="1" max="1" width="25" customWidth="1"/>
    <col min="2" max="2" width="15" customWidth="1"/>
    <col min="3" max="3" width="13" customWidth="1"/>
    <col min="4" max="4" width="20" customWidth="1"/>
    <col min="5" max="12" width="13" customWidth="1"/>
    <col min="13" max="15" width="15" customWidth="1"/>
    <col min="16" max="16" width="11.1428571428571" customWidth="1"/>
    <col min="17" max="26" width="8.71428571428571" customWidth="1"/>
  </cols>
  <sheetData>
    <row r="1" spans="1:16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14</v>
      </c>
    </row>
    <row r="2" spans="1:16">
      <c r="A2" s="18" t="s">
        <v>15</v>
      </c>
      <c r="B2" s="18" t="s">
        <v>16</v>
      </c>
      <c r="C2" s="18" t="s">
        <v>17</v>
      </c>
      <c r="D2" s="18" t="s">
        <v>18</v>
      </c>
      <c r="E2" s="18" t="s">
        <v>19</v>
      </c>
      <c r="F2" s="18" t="s">
        <v>20</v>
      </c>
      <c r="G2" s="19">
        <v>40645</v>
      </c>
      <c r="H2" s="18">
        <v>349467210</v>
      </c>
      <c r="I2" s="19">
        <v>40672</v>
      </c>
      <c r="J2" s="18">
        <v>5978</v>
      </c>
      <c r="K2" s="20">
        <v>668.27</v>
      </c>
      <c r="L2" s="20">
        <v>502.54</v>
      </c>
      <c r="M2" s="20">
        <v>3994918.06</v>
      </c>
      <c r="N2" s="20">
        <v>3004184.12</v>
      </c>
      <c r="O2" s="20">
        <v>990733.94</v>
      </c>
      <c r="P2" s="21">
        <f>YEAR(G2)</f>
        <v>2011</v>
      </c>
    </row>
    <row r="3" spans="1:16">
      <c r="A3" s="18" t="s">
        <v>21</v>
      </c>
      <c r="B3" s="18" t="s">
        <v>22</v>
      </c>
      <c r="C3" s="18" t="s">
        <v>17</v>
      </c>
      <c r="D3" s="18" t="s">
        <v>23</v>
      </c>
      <c r="E3" s="18" t="s">
        <v>24</v>
      </c>
      <c r="F3" s="18" t="s">
        <v>25</v>
      </c>
      <c r="G3" s="19">
        <v>40948</v>
      </c>
      <c r="H3" s="18">
        <v>454088427</v>
      </c>
      <c r="I3" s="19">
        <v>40976</v>
      </c>
      <c r="J3" s="18">
        <v>7349</v>
      </c>
      <c r="K3" s="20">
        <v>668.27</v>
      </c>
      <c r="L3" s="20">
        <v>502.54</v>
      </c>
      <c r="M3" s="20">
        <v>4911116.23</v>
      </c>
      <c r="N3" s="20">
        <v>3693166.46</v>
      </c>
      <c r="O3" s="20">
        <v>1217949.77</v>
      </c>
      <c r="P3" s="21">
        <f t="shared" ref="P3:P34" si="0">YEAR(G3)</f>
        <v>2012</v>
      </c>
    </row>
    <row r="4" spans="1:16">
      <c r="A4" s="18" t="s">
        <v>26</v>
      </c>
      <c r="B4" s="18" t="s">
        <v>27</v>
      </c>
      <c r="C4" s="18" t="s">
        <v>28</v>
      </c>
      <c r="D4" s="18" t="s">
        <v>29</v>
      </c>
      <c r="E4" s="18" t="s">
        <v>24</v>
      </c>
      <c r="F4" s="18" t="s">
        <v>20</v>
      </c>
      <c r="G4" s="19">
        <v>42479</v>
      </c>
      <c r="H4" s="18">
        <v>277077808</v>
      </c>
      <c r="I4" s="19">
        <v>42508</v>
      </c>
      <c r="J4" s="18">
        <v>9066</v>
      </c>
      <c r="K4" s="20">
        <v>437.2</v>
      </c>
      <c r="L4" s="20">
        <v>263.33</v>
      </c>
      <c r="M4" s="20">
        <v>3963655.2</v>
      </c>
      <c r="N4" s="20">
        <v>2387349.78</v>
      </c>
      <c r="O4" s="20">
        <v>1576305.42</v>
      </c>
      <c r="P4" s="21">
        <f t="shared" si="0"/>
        <v>2016</v>
      </c>
    </row>
    <row r="5" spans="1:16">
      <c r="A5" s="18" t="s">
        <v>30</v>
      </c>
      <c r="B5" s="18" t="s">
        <v>31</v>
      </c>
      <c r="C5" s="18" t="s">
        <v>32</v>
      </c>
      <c r="D5" s="18" t="s">
        <v>33</v>
      </c>
      <c r="E5" s="18" t="s">
        <v>19</v>
      </c>
      <c r="F5" s="18" t="s">
        <v>20</v>
      </c>
      <c r="G5" s="19">
        <v>42913</v>
      </c>
      <c r="H5" s="18">
        <v>572190436</v>
      </c>
      <c r="I5" s="19">
        <v>42920</v>
      </c>
      <c r="J5" s="18">
        <v>4290</v>
      </c>
      <c r="K5" s="20">
        <v>47.45</v>
      </c>
      <c r="L5" s="20">
        <v>31.79</v>
      </c>
      <c r="M5" s="20">
        <v>203560.5</v>
      </c>
      <c r="N5" s="20">
        <v>136379.1</v>
      </c>
      <c r="O5" s="20">
        <v>67181.4</v>
      </c>
      <c r="P5" s="21">
        <f t="shared" si="0"/>
        <v>2017</v>
      </c>
    </row>
    <row r="6" spans="1:16">
      <c r="A6" s="18" t="s">
        <v>15</v>
      </c>
      <c r="B6" s="18" t="s">
        <v>16</v>
      </c>
      <c r="C6" s="18" t="s">
        <v>34</v>
      </c>
      <c r="D6" s="18" t="s">
        <v>35</v>
      </c>
      <c r="E6" s="18" t="s">
        <v>24</v>
      </c>
      <c r="F6" s="18" t="s">
        <v>36</v>
      </c>
      <c r="G6" s="19">
        <v>40779</v>
      </c>
      <c r="H6" s="18">
        <v>350814705</v>
      </c>
      <c r="I6" s="19">
        <v>40797</v>
      </c>
      <c r="J6" s="18">
        <v>7913</v>
      </c>
      <c r="K6" s="20">
        <v>651.21</v>
      </c>
      <c r="L6" s="20">
        <v>524.96</v>
      </c>
      <c r="M6" s="20">
        <v>5153024.73</v>
      </c>
      <c r="N6" s="20">
        <v>4154008.48</v>
      </c>
      <c r="O6" s="20">
        <v>999016.25</v>
      </c>
      <c r="P6" s="21">
        <f t="shared" si="0"/>
        <v>2011</v>
      </c>
    </row>
    <row r="7" spans="1:16">
      <c r="A7" s="18" t="s">
        <v>21</v>
      </c>
      <c r="B7" s="18" t="s">
        <v>37</v>
      </c>
      <c r="C7" s="18" t="s">
        <v>38</v>
      </c>
      <c r="D7" s="18" t="s">
        <v>39</v>
      </c>
      <c r="E7" s="18" t="s">
        <v>24</v>
      </c>
      <c r="F7" s="18" t="s">
        <v>40</v>
      </c>
      <c r="G7" s="19">
        <v>42735</v>
      </c>
      <c r="H7" s="18">
        <v>247697582</v>
      </c>
      <c r="I7" s="19">
        <v>42747</v>
      </c>
      <c r="J7" s="18">
        <v>8626</v>
      </c>
      <c r="K7" s="20">
        <v>205.7</v>
      </c>
      <c r="L7" s="20">
        <v>117.11</v>
      </c>
      <c r="M7" s="20">
        <v>1774368.2</v>
      </c>
      <c r="N7" s="20">
        <v>1010190.86</v>
      </c>
      <c r="O7" s="20">
        <v>764177.34</v>
      </c>
      <c r="P7" s="21">
        <f t="shared" si="0"/>
        <v>2016</v>
      </c>
    </row>
    <row r="8" spans="1:16">
      <c r="A8" s="18" t="s">
        <v>41</v>
      </c>
      <c r="B8" s="18" t="s">
        <v>42</v>
      </c>
      <c r="C8" s="18" t="s">
        <v>38</v>
      </c>
      <c r="D8" s="18" t="s">
        <v>43</v>
      </c>
      <c r="E8" s="18" t="s">
        <v>24</v>
      </c>
      <c r="F8" s="18" t="s">
        <v>36</v>
      </c>
      <c r="G8" s="19">
        <v>41200</v>
      </c>
      <c r="H8" s="18">
        <v>993102645</v>
      </c>
      <c r="I8" s="19">
        <v>41210</v>
      </c>
      <c r="J8" s="18">
        <v>4243</v>
      </c>
      <c r="K8" s="20">
        <v>205.7</v>
      </c>
      <c r="L8" s="20">
        <v>117.11</v>
      </c>
      <c r="M8" s="20">
        <v>872785.1</v>
      </c>
      <c r="N8" s="20">
        <v>496897.73</v>
      </c>
      <c r="O8" s="20">
        <v>375887.37</v>
      </c>
      <c r="P8" s="21">
        <f t="shared" si="0"/>
        <v>2012</v>
      </c>
    </row>
    <row r="9" spans="1:16">
      <c r="A9" s="18" t="s">
        <v>41</v>
      </c>
      <c r="B9" s="18" t="s">
        <v>42</v>
      </c>
      <c r="C9" s="18" t="s">
        <v>44</v>
      </c>
      <c r="D9" s="18" t="s">
        <v>29</v>
      </c>
      <c r="E9" s="18" t="s">
        <v>24</v>
      </c>
      <c r="F9" s="18" t="s">
        <v>20</v>
      </c>
      <c r="G9" s="19">
        <v>42160</v>
      </c>
      <c r="H9" s="18">
        <v>520477197</v>
      </c>
      <c r="I9" s="19">
        <v>42200</v>
      </c>
      <c r="J9" s="18">
        <v>8029</v>
      </c>
      <c r="K9" s="20">
        <v>154.06</v>
      </c>
      <c r="L9" s="20">
        <v>90.93</v>
      </c>
      <c r="M9" s="20">
        <v>1236947.74</v>
      </c>
      <c r="N9" s="20">
        <v>730076.97</v>
      </c>
      <c r="O9" s="20">
        <v>506870.77</v>
      </c>
      <c r="P9" s="21">
        <f t="shared" si="0"/>
        <v>2015</v>
      </c>
    </row>
    <row r="10" spans="1:16">
      <c r="A10" s="18" t="s">
        <v>15</v>
      </c>
      <c r="B10" s="18" t="s">
        <v>16</v>
      </c>
      <c r="C10" s="18" t="s">
        <v>17</v>
      </c>
      <c r="D10" s="18" t="s">
        <v>18</v>
      </c>
      <c r="E10" s="18" t="s">
        <v>24</v>
      </c>
      <c r="F10" s="18" t="s">
        <v>25</v>
      </c>
      <c r="G10" s="19">
        <v>40516</v>
      </c>
      <c r="H10" s="18">
        <v>558502041</v>
      </c>
      <c r="I10" s="19">
        <v>40544</v>
      </c>
      <c r="J10" s="18">
        <v>5259</v>
      </c>
      <c r="K10" s="20">
        <v>668.27</v>
      </c>
      <c r="L10" s="20">
        <v>502.54</v>
      </c>
      <c r="M10" s="20">
        <v>3514431.93</v>
      </c>
      <c r="N10" s="20">
        <v>2642857.86</v>
      </c>
      <c r="O10" s="20">
        <v>871574.069999999</v>
      </c>
      <c r="P10" s="21">
        <f t="shared" si="0"/>
        <v>2010</v>
      </c>
    </row>
    <row r="11" spans="1:16">
      <c r="A11" s="18" t="s">
        <v>45</v>
      </c>
      <c r="B11" s="18" t="s">
        <v>46</v>
      </c>
      <c r="C11" s="18" t="s">
        <v>34</v>
      </c>
      <c r="D11" s="18" t="s">
        <v>39</v>
      </c>
      <c r="E11" s="18" t="s">
        <v>19</v>
      </c>
      <c r="F11" s="18" t="s">
        <v>25</v>
      </c>
      <c r="G11" s="19">
        <v>42747</v>
      </c>
      <c r="H11" s="18">
        <v>722261376</v>
      </c>
      <c r="I11" s="19">
        <v>42775</v>
      </c>
      <c r="J11" s="18">
        <v>2427</v>
      </c>
      <c r="K11" s="20">
        <v>651.21</v>
      </c>
      <c r="L11" s="20">
        <v>524.96</v>
      </c>
      <c r="M11" s="20">
        <v>1580486.67</v>
      </c>
      <c r="N11" s="20">
        <v>1274077.92</v>
      </c>
      <c r="O11" s="20">
        <v>306408.75</v>
      </c>
      <c r="P11" s="21">
        <f t="shared" si="0"/>
        <v>2017</v>
      </c>
    </row>
    <row r="12" spans="1:16">
      <c r="A12" s="18" t="s">
        <v>15</v>
      </c>
      <c r="B12" s="18" t="s">
        <v>47</v>
      </c>
      <c r="C12" s="18" t="s">
        <v>48</v>
      </c>
      <c r="D12" s="18" t="s">
        <v>49</v>
      </c>
      <c r="E12" s="18" t="s">
        <v>24</v>
      </c>
      <c r="F12" s="18" t="s">
        <v>40</v>
      </c>
      <c r="G12" s="19">
        <v>40597</v>
      </c>
      <c r="H12" s="18">
        <v>555094650</v>
      </c>
      <c r="I12" s="19">
        <v>40634</v>
      </c>
      <c r="J12" s="18">
        <v>6292</v>
      </c>
      <c r="K12" s="20">
        <v>255.28</v>
      </c>
      <c r="L12" s="20">
        <v>159.42</v>
      </c>
      <c r="M12" s="20">
        <v>1606221.76</v>
      </c>
      <c r="N12" s="20">
        <v>1003070.64</v>
      </c>
      <c r="O12" s="20">
        <v>603151.12</v>
      </c>
      <c r="P12" s="21">
        <f t="shared" si="0"/>
        <v>2011</v>
      </c>
    </row>
    <row r="13" spans="1:16">
      <c r="A13" s="18" t="s">
        <v>26</v>
      </c>
      <c r="B13" s="18" t="s">
        <v>50</v>
      </c>
      <c r="C13" s="18" t="s">
        <v>32</v>
      </c>
      <c r="D13" s="18" t="s">
        <v>51</v>
      </c>
      <c r="E13" s="18" t="s">
        <v>24</v>
      </c>
      <c r="F13" s="18" t="s">
        <v>40</v>
      </c>
      <c r="G13" s="19">
        <v>40379</v>
      </c>
      <c r="H13" s="18">
        <v>956634123</v>
      </c>
      <c r="I13" s="19">
        <v>40391</v>
      </c>
      <c r="J13" s="18">
        <v>3504</v>
      </c>
      <c r="K13" s="20">
        <v>47.45</v>
      </c>
      <c r="L13" s="20">
        <v>31.79</v>
      </c>
      <c r="M13" s="20">
        <v>166264.8</v>
      </c>
      <c r="N13" s="20">
        <v>111392.16</v>
      </c>
      <c r="O13" s="20">
        <v>54872.64</v>
      </c>
      <c r="P13" s="21">
        <f t="shared" si="0"/>
        <v>2010</v>
      </c>
    </row>
    <row r="14" spans="1:16">
      <c r="A14" s="18" t="s">
        <v>15</v>
      </c>
      <c r="B14" s="18" t="s">
        <v>47</v>
      </c>
      <c r="C14" s="18" t="s">
        <v>17</v>
      </c>
      <c r="D14" s="18" t="s">
        <v>52</v>
      </c>
      <c r="E14" s="18" t="s">
        <v>19</v>
      </c>
      <c r="F14" s="18" t="s">
        <v>36</v>
      </c>
      <c r="G14" s="19">
        <v>42074</v>
      </c>
      <c r="H14" s="18">
        <v>689324250</v>
      </c>
      <c r="I14" s="19">
        <v>42100</v>
      </c>
      <c r="J14" s="18">
        <v>5456</v>
      </c>
      <c r="K14" s="20">
        <v>668.27</v>
      </c>
      <c r="L14" s="20">
        <v>502.54</v>
      </c>
      <c r="M14" s="20">
        <v>3646081.12</v>
      </c>
      <c r="N14" s="20">
        <v>2741858.24</v>
      </c>
      <c r="O14" s="20">
        <v>904222.88</v>
      </c>
      <c r="P14" s="21">
        <f t="shared" si="0"/>
        <v>2015</v>
      </c>
    </row>
    <row r="15" spans="1:16">
      <c r="A15" s="18" t="s">
        <v>30</v>
      </c>
      <c r="B15" s="18" t="s">
        <v>53</v>
      </c>
      <c r="C15" s="18" t="s">
        <v>48</v>
      </c>
      <c r="D15" s="18" t="s">
        <v>54</v>
      </c>
      <c r="E15" s="18" t="s">
        <v>19</v>
      </c>
      <c r="F15" s="18" t="s">
        <v>20</v>
      </c>
      <c r="G15" s="19">
        <v>40681</v>
      </c>
      <c r="H15" s="18">
        <v>273660954</v>
      </c>
      <c r="I15" s="19">
        <v>40699</v>
      </c>
      <c r="J15" s="18">
        <v>4888</v>
      </c>
      <c r="K15" s="20">
        <v>255.28</v>
      </c>
      <c r="L15" s="20">
        <v>159.42</v>
      </c>
      <c r="M15" s="20">
        <v>1247808.64</v>
      </c>
      <c r="N15" s="20">
        <v>779244.96</v>
      </c>
      <c r="O15" s="20">
        <v>468563.68</v>
      </c>
      <c r="P15" s="21">
        <f t="shared" si="0"/>
        <v>2011</v>
      </c>
    </row>
    <row r="16" spans="1:16">
      <c r="A16" s="18" t="s">
        <v>15</v>
      </c>
      <c r="B16" s="18" t="s">
        <v>47</v>
      </c>
      <c r="C16" s="18" t="s">
        <v>32</v>
      </c>
      <c r="D16" s="18" t="s">
        <v>55</v>
      </c>
      <c r="E16" s="18" t="s">
        <v>24</v>
      </c>
      <c r="F16" s="18" t="s">
        <v>25</v>
      </c>
      <c r="G16" s="19">
        <v>41042</v>
      </c>
      <c r="H16" s="18">
        <v>376406835</v>
      </c>
      <c r="I16" s="19">
        <v>41085</v>
      </c>
      <c r="J16" s="18">
        <v>5516</v>
      </c>
      <c r="K16" s="20">
        <v>47.45</v>
      </c>
      <c r="L16" s="20">
        <v>31.79</v>
      </c>
      <c r="M16" s="20">
        <v>261734.2</v>
      </c>
      <c r="N16" s="20">
        <v>175353.64</v>
      </c>
      <c r="O16" s="20">
        <v>86380.56</v>
      </c>
      <c r="P16" s="21">
        <f t="shared" si="0"/>
        <v>2012</v>
      </c>
    </row>
    <row r="17" spans="1:16">
      <c r="A17" s="18" t="s">
        <v>45</v>
      </c>
      <c r="B17" s="18" t="s">
        <v>56</v>
      </c>
      <c r="C17" s="18" t="s">
        <v>57</v>
      </c>
      <c r="D17" s="18" t="s">
        <v>35</v>
      </c>
      <c r="E17" s="18" t="s">
        <v>19</v>
      </c>
      <c r="F17" s="18" t="s">
        <v>40</v>
      </c>
      <c r="G17" s="19">
        <v>40719</v>
      </c>
      <c r="H17" s="18">
        <v>928299788</v>
      </c>
      <c r="I17" s="19">
        <v>40759</v>
      </c>
      <c r="J17" s="18">
        <v>3557</v>
      </c>
      <c r="K17" s="20">
        <v>9.33</v>
      </c>
      <c r="L17" s="20">
        <v>6.92</v>
      </c>
      <c r="M17" s="20">
        <v>33186.81</v>
      </c>
      <c r="N17" s="20">
        <v>24614.44</v>
      </c>
      <c r="O17" s="20">
        <v>8572.37</v>
      </c>
      <c r="P17" s="21">
        <f t="shared" si="0"/>
        <v>2011</v>
      </c>
    </row>
    <row r="18" spans="1:16">
      <c r="A18" s="18" t="s">
        <v>45</v>
      </c>
      <c r="B18" s="18" t="s">
        <v>58</v>
      </c>
      <c r="C18" s="18" t="s">
        <v>32</v>
      </c>
      <c r="D18" s="18" t="s">
        <v>59</v>
      </c>
      <c r="E18" s="18" t="s">
        <v>24</v>
      </c>
      <c r="F18" s="18" t="s">
        <v>25</v>
      </c>
      <c r="G18" s="19">
        <v>42872</v>
      </c>
      <c r="H18" s="18">
        <v>330519835</v>
      </c>
      <c r="I18" s="19">
        <v>42904</v>
      </c>
      <c r="J18" s="18">
        <v>4027</v>
      </c>
      <c r="K18" s="20">
        <v>47.45</v>
      </c>
      <c r="L18" s="20">
        <v>31.79</v>
      </c>
      <c r="M18" s="20">
        <v>191081.15</v>
      </c>
      <c r="N18" s="20">
        <v>128018.33</v>
      </c>
      <c r="O18" s="20">
        <v>63062.82</v>
      </c>
      <c r="P18" s="21">
        <f t="shared" si="0"/>
        <v>2017</v>
      </c>
    </row>
    <row r="19" spans="1:16">
      <c r="A19" s="18" t="s">
        <v>45</v>
      </c>
      <c r="B19" s="18" t="s">
        <v>56</v>
      </c>
      <c r="C19" s="18" t="s">
        <v>32</v>
      </c>
      <c r="D19" s="18" t="s">
        <v>35</v>
      </c>
      <c r="E19" s="18" t="s">
        <v>24</v>
      </c>
      <c r="F19" s="18" t="s">
        <v>25</v>
      </c>
      <c r="G19" s="19">
        <v>41587</v>
      </c>
      <c r="H19" s="18">
        <v>860672189</v>
      </c>
      <c r="I19" s="19">
        <v>41618</v>
      </c>
      <c r="J19" s="18">
        <v>7176</v>
      </c>
      <c r="K19" s="20">
        <v>47.45</v>
      </c>
      <c r="L19" s="20">
        <v>31.79</v>
      </c>
      <c r="M19" s="20">
        <v>340501.2</v>
      </c>
      <c r="N19" s="20">
        <v>228125.04</v>
      </c>
      <c r="O19" s="20">
        <v>112376.16</v>
      </c>
      <c r="P19" s="21">
        <f t="shared" si="0"/>
        <v>2013</v>
      </c>
    </row>
    <row r="20" spans="1:16">
      <c r="A20" s="18" t="s">
        <v>45</v>
      </c>
      <c r="B20" s="18" t="s">
        <v>60</v>
      </c>
      <c r="C20" s="18" t="s">
        <v>34</v>
      </c>
      <c r="D20" s="18" t="s">
        <v>23</v>
      </c>
      <c r="E20" s="18" t="s">
        <v>19</v>
      </c>
      <c r="F20" s="18" t="s">
        <v>20</v>
      </c>
      <c r="G20" s="19">
        <v>41658</v>
      </c>
      <c r="H20" s="18">
        <v>819024776</v>
      </c>
      <c r="I20" s="19">
        <v>41689</v>
      </c>
      <c r="J20" s="18">
        <v>4813</v>
      </c>
      <c r="K20" s="20">
        <v>651.21</v>
      </c>
      <c r="L20" s="20">
        <v>524.96</v>
      </c>
      <c r="M20" s="20">
        <v>3134273.73</v>
      </c>
      <c r="N20" s="20">
        <v>2526632.48</v>
      </c>
      <c r="O20" s="20">
        <v>607641.25</v>
      </c>
      <c r="P20" s="21">
        <f t="shared" si="0"/>
        <v>2014</v>
      </c>
    </row>
    <row r="21" ht="15.75" customHeight="1" spans="1:16">
      <c r="A21" s="18" t="s">
        <v>21</v>
      </c>
      <c r="B21" s="18" t="s">
        <v>61</v>
      </c>
      <c r="C21" s="18" t="s">
        <v>48</v>
      </c>
      <c r="D21" s="18" t="s">
        <v>55</v>
      </c>
      <c r="E21" s="18" t="s">
        <v>24</v>
      </c>
      <c r="F21" s="18" t="s">
        <v>36</v>
      </c>
      <c r="G21" s="19">
        <v>42177</v>
      </c>
      <c r="H21" s="18">
        <v>180705119</v>
      </c>
      <c r="I21" s="19">
        <v>42213</v>
      </c>
      <c r="J21" s="18">
        <v>1895</v>
      </c>
      <c r="K21" s="20">
        <v>255.28</v>
      </c>
      <c r="L21" s="20">
        <v>159.42</v>
      </c>
      <c r="M21" s="20">
        <v>483755.6</v>
      </c>
      <c r="N21" s="20">
        <v>302100.9</v>
      </c>
      <c r="O21" s="20">
        <v>181654.7</v>
      </c>
      <c r="P21" s="21">
        <f t="shared" si="0"/>
        <v>2015</v>
      </c>
    </row>
    <row r="22" ht="15.75" customHeight="1" spans="1:16">
      <c r="A22" s="18" t="s">
        <v>62</v>
      </c>
      <c r="B22" s="18" t="s">
        <v>63</v>
      </c>
      <c r="C22" s="18" t="s">
        <v>28</v>
      </c>
      <c r="D22" s="18" t="s">
        <v>64</v>
      </c>
      <c r="E22" s="18" t="s">
        <v>24</v>
      </c>
      <c r="F22" s="18" t="s">
        <v>20</v>
      </c>
      <c r="G22" s="19">
        <v>41815</v>
      </c>
      <c r="H22" s="18">
        <v>172073914</v>
      </c>
      <c r="I22" s="19">
        <v>41836</v>
      </c>
      <c r="J22" s="18">
        <v>5137</v>
      </c>
      <c r="K22" s="20">
        <v>437.2</v>
      </c>
      <c r="L22" s="20">
        <v>263.33</v>
      </c>
      <c r="M22" s="20">
        <v>2245896.4</v>
      </c>
      <c r="N22" s="20">
        <v>1352726.21</v>
      </c>
      <c r="O22" s="20">
        <v>893170.19</v>
      </c>
      <c r="P22" s="21">
        <f t="shared" si="0"/>
        <v>2014</v>
      </c>
    </row>
    <row r="23" ht="15.75" customHeight="1" spans="1:16">
      <c r="A23" s="18" t="s">
        <v>45</v>
      </c>
      <c r="B23" s="18" t="s">
        <v>56</v>
      </c>
      <c r="C23" s="18" t="s">
        <v>65</v>
      </c>
      <c r="D23" s="18" t="s">
        <v>52</v>
      </c>
      <c r="E23" s="18" t="s">
        <v>24</v>
      </c>
      <c r="F23" s="18" t="s">
        <v>25</v>
      </c>
      <c r="G23" s="19">
        <v>42611</v>
      </c>
      <c r="H23" s="18">
        <v>876124029</v>
      </c>
      <c r="I23" s="19">
        <v>42634</v>
      </c>
      <c r="J23" s="18">
        <v>5649</v>
      </c>
      <c r="K23" s="20">
        <v>152.58</v>
      </c>
      <c r="L23" s="20">
        <v>97.44</v>
      </c>
      <c r="M23" s="20">
        <v>861924.42</v>
      </c>
      <c r="N23" s="20">
        <v>550438.56</v>
      </c>
      <c r="O23" s="20">
        <v>311485.86</v>
      </c>
      <c r="P23" s="21">
        <f t="shared" si="0"/>
        <v>2016</v>
      </c>
    </row>
    <row r="24" ht="15.75" customHeight="1" spans="1:16">
      <c r="A24" s="18" t="s">
        <v>21</v>
      </c>
      <c r="B24" s="18" t="s">
        <v>22</v>
      </c>
      <c r="C24" s="18" t="s">
        <v>32</v>
      </c>
      <c r="D24" s="18" t="s">
        <v>66</v>
      </c>
      <c r="E24" s="18" t="s">
        <v>24</v>
      </c>
      <c r="F24" s="18" t="s">
        <v>40</v>
      </c>
      <c r="G24" s="19">
        <v>41014</v>
      </c>
      <c r="H24" s="18">
        <v>613911991</v>
      </c>
      <c r="I24" s="19">
        <v>41029</v>
      </c>
      <c r="J24" s="18">
        <v>4618</v>
      </c>
      <c r="K24" s="20">
        <v>47.45</v>
      </c>
      <c r="L24" s="20">
        <v>31.79</v>
      </c>
      <c r="M24" s="20">
        <v>219124.1</v>
      </c>
      <c r="N24" s="20">
        <v>146806.22</v>
      </c>
      <c r="O24" s="20">
        <v>72317.88</v>
      </c>
      <c r="P24" s="21">
        <f t="shared" si="0"/>
        <v>2012</v>
      </c>
    </row>
    <row r="25" ht="15.75" customHeight="1" spans="1:16">
      <c r="A25" s="18" t="s">
        <v>62</v>
      </c>
      <c r="B25" s="18" t="s">
        <v>67</v>
      </c>
      <c r="C25" s="18" t="s">
        <v>68</v>
      </c>
      <c r="D25" s="18" t="s">
        <v>52</v>
      </c>
      <c r="E25" s="18" t="s">
        <v>24</v>
      </c>
      <c r="F25" s="18" t="s">
        <v>20</v>
      </c>
      <c r="G25" s="19">
        <v>40376</v>
      </c>
      <c r="H25" s="18">
        <v>253651082</v>
      </c>
      <c r="I25" s="19">
        <v>40402</v>
      </c>
      <c r="J25" s="18">
        <v>6687</v>
      </c>
      <c r="K25" s="20">
        <v>109.28</v>
      </c>
      <c r="L25" s="20">
        <v>35.84</v>
      </c>
      <c r="M25" s="20">
        <v>730755.36</v>
      </c>
      <c r="N25" s="20">
        <v>239662.08</v>
      </c>
      <c r="O25" s="20">
        <v>491093.28</v>
      </c>
      <c r="P25" s="21">
        <f t="shared" si="0"/>
        <v>2010</v>
      </c>
    </row>
    <row r="26" ht="15.75" customHeight="1" spans="1:16">
      <c r="A26" s="18" t="s">
        <v>62</v>
      </c>
      <c r="B26" s="18" t="s">
        <v>63</v>
      </c>
      <c r="C26" s="18" t="s">
        <v>68</v>
      </c>
      <c r="D26" s="18" t="s">
        <v>33</v>
      </c>
      <c r="E26" s="18" t="s">
        <v>19</v>
      </c>
      <c r="F26" s="18" t="s">
        <v>40</v>
      </c>
      <c r="G26" s="19">
        <v>40838</v>
      </c>
      <c r="H26" s="18">
        <v>171244178</v>
      </c>
      <c r="I26" s="19">
        <v>40878</v>
      </c>
      <c r="J26" s="18">
        <v>9961</v>
      </c>
      <c r="K26" s="20">
        <v>109.28</v>
      </c>
      <c r="L26" s="20">
        <v>35.84</v>
      </c>
      <c r="M26" s="20">
        <v>1088538.08</v>
      </c>
      <c r="N26" s="20">
        <v>357002.24</v>
      </c>
      <c r="O26" s="20">
        <v>731535.84</v>
      </c>
      <c r="P26" s="21">
        <f t="shared" si="0"/>
        <v>2011</v>
      </c>
    </row>
    <row r="27" ht="15.75" customHeight="1" spans="1:16">
      <c r="A27" s="18" t="s">
        <v>30</v>
      </c>
      <c r="B27" s="18" t="s">
        <v>31</v>
      </c>
      <c r="C27" s="18" t="s">
        <v>48</v>
      </c>
      <c r="D27" s="18" t="s">
        <v>64</v>
      </c>
      <c r="E27" s="18" t="s">
        <v>24</v>
      </c>
      <c r="F27" s="18" t="s">
        <v>40</v>
      </c>
      <c r="G27" s="19">
        <v>42022</v>
      </c>
      <c r="H27" s="18">
        <v>733816999</v>
      </c>
      <c r="I27" s="19">
        <v>42059</v>
      </c>
      <c r="J27" s="18">
        <v>6159</v>
      </c>
      <c r="K27" s="20">
        <v>255.28</v>
      </c>
      <c r="L27" s="20">
        <v>159.42</v>
      </c>
      <c r="M27" s="20">
        <v>1572269.52</v>
      </c>
      <c r="N27" s="20">
        <v>981867.78</v>
      </c>
      <c r="O27" s="20">
        <v>590401.74</v>
      </c>
      <c r="P27" s="21">
        <f t="shared" si="0"/>
        <v>2015</v>
      </c>
    </row>
    <row r="28" ht="15.75" customHeight="1" spans="1:16">
      <c r="A28" s="18" t="s">
        <v>15</v>
      </c>
      <c r="B28" s="18" t="s">
        <v>69</v>
      </c>
      <c r="C28" s="18" t="s">
        <v>17</v>
      </c>
      <c r="D28" s="18" t="s">
        <v>54</v>
      </c>
      <c r="E28" s="18" t="s">
        <v>19</v>
      </c>
      <c r="F28" s="18" t="s">
        <v>36</v>
      </c>
      <c r="G28" s="19">
        <v>42699</v>
      </c>
      <c r="H28" s="18">
        <v>278017694</v>
      </c>
      <c r="I28" s="19">
        <v>42726</v>
      </c>
      <c r="J28" s="18">
        <v>4461</v>
      </c>
      <c r="K28" s="20">
        <v>668.27</v>
      </c>
      <c r="L28" s="20">
        <v>502.54</v>
      </c>
      <c r="M28" s="20">
        <v>2981152.47</v>
      </c>
      <c r="N28" s="20">
        <v>2241830.94</v>
      </c>
      <c r="O28" s="20">
        <v>739321.53</v>
      </c>
      <c r="P28" s="21">
        <f t="shared" si="0"/>
        <v>2016</v>
      </c>
    </row>
    <row r="29" ht="15.75" customHeight="1" spans="1:16">
      <c r="A29" s="18" t="s">
        <v>26</v>
      </c>
      <c r="B29" s="18" t="s">
        <v>50</v>
      </c>
      <c r="C29" s="18" t="s">
        <v>65</v>
      </c>
      <c r="D29" s="18" t="s">
        <v>33</v>
      </c>
      <c r="E29" s="18" t="s">
        <v>24</v>
      </c>
      <c r="F29" s="18" t="s">
        <v>36</v>
      </c>
      <c r="G29" s="19">
        <v>41195</v>
      </c>
      <c r="H29" s="18">
        <v>499873327</v>
      </c>
      <c r="I29" s="19">
        <v>41201</v>
      </c>
      <c r="J29" s="18">
        <v>4948</v>
      </c>
      <c r="K29" s="20">
        <v>152.58</v>
      </c>
      <c r="L29" s="20">
        <v>97.44</v>
      </c>
      <c r="M29" s="20">
        <v>754965.84</v>
      </c>
      <c r="N29" s="20">
        <v>482133.12</v>
      </c>
      <c r="O29" s="20">
        <v>272832.72</v>
      </c>
      <c r="P29" s="21">
        <f t="shared" si="0"/>
        <v>2012</v>
      </c>
    </row>
    <row r="30" ht="15.75" customHeight="1" spans="1:16">
      <c r="A30" s="18" t="s">
        <v>21</v>
      </c>
      <c r="B30" s="18" t="s">
        <v>70</v>
      </c>
      <c r="C30" s="18" t="s">
        <v>65</v>
      </c>
      <c r="D30" s="18" t="s">
        <v>51</v>
      </c>
      <c r="E30" s="18" t="s">
        <v>19</v>
      </c>
      <c r="F30" s="18" t="s">
        <v>40</v>
      </c>
      <c r="G30" s="19">
        <v>41861</v>
      </c>
      <c r="H30" s="18">
        <v>731833730</v>
      </c>
      <c r="I30" s="19">
        <v>41881</v>
      </c>
      <c r="J30" s="18">
        <v>4899</v>
      </c>
      <c r="K30" s="20">
        <v>152.58</v>
      </c>
      <c r="L30" s="20">
        <v>97.44</v>
      </c>
      <c r="M30" s="20">
        <v>747489.42</v>
      </c>
      <c r="N30" s="20">
        <v>477358.56</v>
      </c>
      <c r="O30" s="20">
        <v>270130.86</v>
      </c>
      <c r="P30" s="21">
        <f t="shared" si="0"/>
        <v>2014</v>
      </c>
    </row>
    <row r="31" ht="15.75" customHeight="1" spans="1:16">
      <c r="A31" s="18" t="s">
        <v>41</v>
      </c>
      <c r="B31" s="18" t="s">
        <v>71</v>
      </c>
      <c r="C31" s="18" t="s">
        <v>28</v>
      </c>
      <c r="D31" s="18" t="s">
        <v>64</v>
      </c>
      <c r="E31" s="18" t="s">
        <v>19</v>
      </c>
      <c r="F31" s="18" t="s">
        <v>25</v>
      </c>
      <c r="G31" s="19">
        <v>41622</v>
      </c>
      <c r="H31" s="18">
        <v>825799015</v>
      </c>
      <c r="I31" s="19">
        <v>41664</v>
      </c>
      <c r="J31" s="18">
        <v>8845</v>
      </c>
      <c r="K31" s="20">
        <v>437.2</v>
      </c>
      <c r="L31" s="20">
        <v>263.33</v>
      </c>
      <c r="M31" s="20">
        <v>3867034</v>
      </c>
      <c r="N31" s="20">
        <v>2329153.85</v>
      </c>
      <c r="O31" s="20">
        <v>1537880.15</v>
      </c>
      <c r="P31" s="21">
        <f t="shared" si="0"/>
        <v>2013</v>
      </c>
    </row>
    <row r="32" ht="15.75" customHeight="1" spans="1:16">
      <c r="A32" s="18" t="s">
        <v>30</v>
      </c>
      <c r="B32" s="18" t="s">
        <v>72</v>
      </c>
      <c r="C32" s="18" t="s">
        <v>34</v>
      </c>
      <c r="D32" s="18" t="s">
        <v>23</v>
      </c>
      <c r="E32" s="18" t="s">
        <v>19</v>
      </c>
      <c r="F32" s="18" t="s">
        <v>25</v>
      </c>
      <c r="G32" s="19">
        <v>42098</v>
      </c>
      <c r="H32" s="18">
        <v>924183605</v>
      </c>
      <c r="I32" s="19">
        <v>42120</v>
      </c>
      <c r="J32" s="18">
        <v>1356</v>
      </c>
      <c r="K32" s="20">
        <v>651.21</v>
      </c>
      <c r="L32" s="20">
        <v>524.96</v>
      </c>
      <c r="M32" s="20">
        <v>883040.76</v>
      </c>
      <c r="N32" s="20">
        <v>711845.76</v>
      </c>
      <c r="O32" s="20">
        <v>171195</v>
      </c>
      <c r="P32" s="21">
        <f t="shared" si="0"/>
        <v>2015</v>
      </c>
    </row>
    <row r="33" ht="15.75" customHeight="1" spans="1:16">
      <c r="A33" s="18" t="s">
        <v>62</v>
      </c>
      <c r="B33" s="18" t="s">
        <v>63</v>
      </c>
      <c r="C33" s="18" t="s">
        <v>38</v>
      </c>
      <c r="D33" s="18" t="s">
        <v>54</v>
      </c>
      <c r="E33" s="18" t="s">
        <v>24</v>
      </c>
      <c r="F33" s="18" t="s">
        <v>25</v>
      </c>
      <c r="G33" s="19">
        <v>40994</v>
      </c>
      <c r="H33" s="18">
        <v>600229623</v>
      </c>
      <c r="I33" s="19">
        <v>41018</v>
      </c>
      <c r="J33" s="18">
        <v>6415</v>
      </c>
      <c r="K33" s="20">
        <v>205.7</v>
      </c>
      <c r="L33" s="20">
        <v>117.11</v>
      </c>
      <c r="M33" s="20">
        <v>1319565.5</v>
      </c>
      <c r="N33" s="20">
        <v>751260.65</v>
      </c>
      <c r="O33" s="20">
        <v>568304.85</v>
      </c>
      <c r="P33" s="21">
        <f t="shared" si="0"/>
        <v>2012</v>
      </c>
    </row>
    <row r="34" ht="15.75" customHeight="1" spans="1:16">
      <c r="A34" s="18" t="s">
        <v>15</v>
      </c>
      <c r="B34" s="18" t="s">
        <v>47</v>
      </c>
      <c r="C34" s="18" t="s">
        <v>28</v>
      </c>
      <c r="D34" s="18" t="s">
        <v>54</v>
      </c>
      <c r="E34" s="18" t="s">
        <v>24</v>
      </c>
      <c r="F34" s="18" t="s">
        <v>36</v>
      </c>
      <c r="G34" s="19">
        <v>41133</v>
      </c>
      <c r="H34" s="18">
        <v>165293686</v>
      </c>
      <c r="I34" s="19">
        <v>41159</v>
      </c>
      <c r="J34" s="18">
        <v>1445</v>
      </c>
      <c r="K34" s="20">
        <v>437.2</v>
      </c>
      <c r="L34" s="20">
        <v>263.33</v>
      </c>
      <c r="M34" s="20">
        <v>631754</v>
      </c>
      <c r="N34" s="20">
        <v>380511.85</v>
      </c>
      <c r="O34" s="20">
        <v>251242.15</v>
      </c>
      <c r="P34" s="21">
        <f t="shared" si="0"/>
        <v>2012</v>
      </c>
    </row>
    <row r="35" ht="15.75" customHeight="1" spans="1:16">
      <c r="A35" s="18" t="s">
        <v>41</v>
      </c>
      <c r="B35" s="18" t="s">
        <v>71</v>
      </c>
      <c r="C35" s="18" t="s">
        <v>68</v>
      </c>
      <c r="D35" s="18" t="s">
        <v>66</v>
      </c>
      <c r="E35" s="18" t="s">
        <v>19</v>
      </c>
      <c r="F35" s="18" t="s">
        <v>40</v>
      </c>
      <c r="G35" s="19">
        <v>42664</v>
      </c>
      <c r="H35" s="18">
        <v>663236122</v>
      </c>
      <c r="I35" s="19">
        <v>42676</v>
      </c>
      <c r="J35" s="18">
        <v>625</v>
      </c>
      <c r="K35" s="20">
        <v>109.28</v>
      </c>
      <c r="L35" s="20">
        <v>35.84</v>
      </c>
      <c r="M35" s="20">
        <v>68300</v>
      </c>
      <c r="N35" s="20">
        <v>22400</v>
      </c>
      <c r="O35" s="20">
        <v>45900</v>
      </c>
      <c r="P35" s="21">
        <f t="shared" ref="P35:P66" si="1">YEAR(G35)</f>
        <v>2016</v>
      </c>
    </row>
    <row r="36" ht="15.75" customHeight="1" spans="1:16">
      <c r="A36" s="18" t="s">
        <v>21</v>
      </c>
      <c r="B36" s="18" t="s">
        <v>73</v>
      </c>
      <c r="C36" s="18" t="s">
        <v>28</v>
      </c>
      <c r="D36" s="18" t="s">
        <v>39</v>
      </c>
      <c r="E36" s="18" t="s">
        <v>24</v>
      </c>
      <c r="F36" s="18" t="s">
        <v>25</v>
      </c>
      <c r="G36" s="19">
        <v>40631</v>
      </c>
      <c r="H36" s="18">
        <v>409255683</v>
      </c>
      <c r="I36" s="19">
        <v>40654</v>
      </c>
      <c r="J36" s="18">
        <v>5042</v>
      </c>
      <c r="K36" s="20">
        <v>437.2</v>
      </c>
      <c r="L36" s="20">
        <v>263.33</v>
      </c>
      <c r="M36" s="20">
        <v>2204362.4</v>
      </c>
      <c r="N36" s="20">
        <v>1327709.86</v>
      </c>
      <c r="O36" s="20">
        <v>876652.54</v>
      </c>
      <c r="P36" s="21">
        <f t="shared" si="1"/>
        <v>2011</v>
      </c>
    </row>
    <row r="37" ht="15.75" customHeight="1" spans="1:16">
      <c r="A37" s="18" t="s">
        <v>62</v>
      </c>
      <c r="B37" s="18" t="s">
        <v>63</v>
      </c>
      <c r="C37" s="18" t="s">
        <v>57</v>
      </c>
      <c r="D37" s="18" t="s">
        <v>66</v>
      </c>
      <c r="E37" s="18" t="s">
        <v>19</v>
      </c>
      <c r="F37" s="18" t="s">
        <v>36</v>
      </c>
      <c r="G37" s="19">
        <v>41947</v>
      </c>
      <c r="H37" s="18">
        <v>865872407</v>
      </c>
      <c r="I37" s="19">
        <v>41988</v>
      </c>
      <c r="J37" s="18">
        <v>3820</v>
      </c>
      <c r="K37" s="20">
        <v>9.33</v>
      </c>
      <c r="L37" s="20">
        <v>6.92</v>
      </c>
      <c r="M37" s="20">
        <v>35640.6</v>
      </c>
      <c r="N37" s="20">
        <v>26434.4</v>
      </c>
      <c r="O37" s="20">
        <v>9206.2</v>
      </c>
      <c r="P37" s="21">
        <f t="shared" si="1"/>
        <v>2014</v>
      </c>
    </row>
    <row r="38" ht="15.75" customHeight="1" spans="1:16">
      <c r="A38" s="18" t="s">
        <v>62</v>
      </c>
      <c r="B38" s="18" t="s">
        <v>74</v>
      </c>
      <c r="C38" s="18" t="s">
        <v>57</v>
      </c>
      <c r="D38" s="18" t="s">
        <v>23</v>
      </c>
      <c r="E38" s="18" t="s">
        <v>24</v>
      </c>
      <c r="F38" s="18" t="s">
        <v>25</v>
      </c>
      <c r="G38" s="19">
        <v>41318</v>
      </c>
      <c r="H38" s="18">
        <v>919956639</v>
      </c>
      <c r="I38" s="19">
        <v>41343</v>
      </c>
      <c r="J38" s="18">
        <v>6502</v>
      </c>
      <c r="K38" s="20">
        <v>9.33</v>
      </c>
      <c r="L38" s="20">
        <v>6.92</v>
      </c>
      <c r="M38" s="20">
        <v>60663.66</v>
      </c>
      <c r="N38" s="20">
        <v>44993.84</v>
      </c>
      <c r="O38" s="20">
        <v>15669.82</v>
      </c>
      <c r="P38" s="21">
        <f t="shared" si="1"/>
        <v>2013</v>
      </c>
    </row>
    <row r="39" ht="15.75" customHeight="1" spans="1:16">
      <c r="A39" s="18" t="s">
        <v>62</v>
      </c>
      <c r="B39" s="18" t="s">
        <v>67</v>
      </c>
      <c r="C39" s="18" t="s">
        <v>44</v>
      </c>
      <c r="D39" s="18" t="s">
        <v>55</v>
      </c>
      <c r="E39" s="18" t="s">
        <v>19</v>
      </c>
      <c r="F39" s="18" t="s">
        <v>20</v>
      </c>
      <c r="G39" s="19">
        <v>40748</v>
      </c>
      <c r="H39" s="18">
        <v>400910439</v>
      </c>
      <c r="I39" s="19">
        <v>40755</v>
      </c>
      <c r="J39" s="18">
        <v>3133</v>
      </c>
      <c r="K39" s="20">
        <v>154.06</v>
      </c>
      <c r="L39" s="20">
        <v>90.93</v>
      </c>
      <c r="M39" s="20">
        <v>482669.98</v>
      </c>
      <c r="N39" s="20">
        <v>284883.69</v>
      </c>
      <c r="O39" s="20">
        <v>197786.29</v>
      </c>
      <c r="P39" s="21">
        <f t="shared" si="1"/>
        <v>2011</v>
      </c>
    </row>
    <row r="40" ht="15.75" customHeight="1" spans="1:16">
      <c r="A40" s="18" t="s">
        <v>26</v>
      </c>
      <c r="B40" s="18" t="s">
        <v>50</v>
      </c>
      <c r="C40" s="18" t="s">
        <v>68</v>
      </c>
      <c r="D40" s="18" t="s">
        <v>75</v>
      </c>
      <c r="E40" s="18" t="s">
        <v>19</v>
      </c>
      <c r="F40" s="18" t="s">
        <v>40</v>
      </c>
      <c r="G40" s="19">
        <v>42716</v>
      </c>
      <c r="H40" s="18">
        <v>411603161</v>
      </c>
      <c r="I40" s="19">
        <v>42722</v>
      </c>
      <c r="J40" s="18">
        <v>1184</v>
      </c>
      <c r="K40" s="20">
        <v>109.28</v>
      </c>
      <c r="L40" s="20">
        <v>35.84</v>
      </c>
      <c r="M40" s="20">
        <v>129387.52</v>
      </c>
      <c r="N40" s="20">
        <v>42434.56</v>
      </c>
      <c r="O40" s="20">
        <v>86952.96</v>
      </c>
      <c r="P40" s="21">
        <f t="shared" si="1"/>
        <v>2016</v>
      </c>
    </row>
    <row r="41" ht="15.75" customHeight="1" spans="1:16">
      <c r="A41" s="18" t="s">
        <v>62</v>
      </c>
      <c r="B41" s="18" t="s">
        <v>63</v>
      </c>
      <c r="C41" s="18" t="s">
        <v>68</v>
      </c>
      <c r="D41" s="18" t="s">
        <v>33</v>
      </c>
      <c r="E41" s="18" t="s">
        <v>19</v>
      </c>
      <c r="F41" s="18" t="s">
        <v>25</v>
      </c>
      <c r="G41" s="19">
        <v>41884</v>
      </c>
      <c r="H41" s="18">
        <v>358185058</v>
      </c>
      <c r="I41" s="19">
        <v>41914</v>
      </c>
      <c r="J41" s="18">
        <v>2241</v>
      </c>
      <c r="K41" s="20">
        <v>109.28</v>
      </c>
      <c r="L41" s="20">
        <v>35.84</v>
      </c>
      <c r="M41" s="20">
        <v>244896.48</v>
      </c>
      <c r="N41" s="20">
        <v>80317.44</v>
      </c>
      <c r="O41" s="20">
        <v>164579.04</v>
      </c>
      <c r="P41" s="21">
        <f t="shared" si="1"/>
        <v>2014</v>
      </c>
    </row>
    <row r="42" ht="15.75" customHeight="1" spans="1:16">
      <c r="A42" s="18" t="s">
        <v>62</v>
      </c>
      <c r="B42" s="18" t="s">
        <v>63</v>
      </c>
      <c r="C42" s="18" t="s">
        <v>32</v>
      </c>
      <c r="D42" s="18" t="s">
        <v>35</v>
      </c>
      <c r="E42" s="18" t="s">
        <v>19</v>
      </c>
      <c r="F42" s="18" t="s">
        <v>36</v>
      </c>
      <c r="G42" s="19">
        <v>40863</v>
      </c>
      <c r="H42" s="18">
        <v>744090176</v>
      </c>
      <c r="I42" s="19">
        <v>40887</v>
      </c>
      <c r="J42" s="18">
        <v>7055</v>
      </c>
      <c r="K42" s="20">
        <v>47.45</v>
      </c>
      <c r="L42" s="20">
        <v>31.79</v>
      </c>
      <c r="M42" s="20">
        <v>334759.75</v>
      </c>
      <c r="N42" s="20">
        <v>224278.45</v>
      </c>
      <c r="O42" s="20">
        <v>110481.3</v>
      </c>
      <c r="P42" s="21">
        <f t="shared" si="1"/>
        <v>2011</v>
      </c>
    </row>
    <row r="43" ht="15.75" customHeight="1" spans="1:16">
      <c r="A43" s="18" t="s">
        <v>41</v>
      </c>
      <c r="B43" s="18" t="s">
        <v>71</v>
      </c>
      <c r="C43" s="18" t="s">
        <v>48</v>
      </c>
      <c r="D43" s="18" t="s">
        <v>39</v>
      </c>
      <c r="E43" s="18" t="s">
        <v>24</v>
      </c>
      <c r="F43" s="18" t="s">
        <v>20</v>
      </c>
      <c r="G43" s="19">
        <v>41012</v>
      </c>
      <c r="H43" s="18">
        <v>436210646</v>
      </c>
      <c r="I43" s="19">
        <v>41048</v>
      </c>
      <c r="J43" s="18">
        <v>1253</v>
      </c>
      <c r="K43" s="20">
        <v>255.28</v>
      </c>
      <c r="L43" s="20">
        <v>159.42</v>
      </c>
      <c r="M43" s="20">
        <v>319865.84</v>
      </c>
      <c r="N43" s="20">
        <v>199753.26</v>
      </c>
      <c r="O43" s="20">
        <v>120112.58</v>
      </c>
      <c r="P43" s="21">
        <f t="shared" si="1"/>
        <v>2012</v>
      </c>
    </row>
    <row r="44" ht="15.75" customHeight="1" spans="1:16">
      <c r="A44" s="18" t="s">
        <v>30</v>
      </c>
      <c r="B44" s="18" t="s">
        <v>53</v>
      </c>
      <c r="C44" s="18" t="s">
        <v>32</v>
      </c>
      <c r="D44" s="18" t="s">
        <v>76</v>
      </c>
      <c r="E44" s="18" t="s">
        <v>24</v>
      </c>
      <c r="F44" s="18" t="s">
        <v>20</v>
      </c>
      <c r="G44" s="19">
        <v>42531</v>
      </c>
      <c r="H44" s="18">
        <v>328773646</v>
      </c>
      <c r="I44" s="19">
        <v>42541</v>
      </c>
      <c r="J44" s="18">
        <v>2891</v>
      </c>
      <c r="K44" s="20">
        <v>47.45</v>
      </c>
      <c r="L44" s="20">
        <v>31.79</v>
      </c>
      <c r="M44" s="20">
        <v>137177.95</v>
      </c>
      <c r="N44" s="20">
        <v>91904.89</v>
      </c>
      <c r="O44" s="20">
        <v>45273.06</v>
      </c>
      <c r="P44" s="21">
        <f t="shared" si="1"/>
        <v>2016</v>
      </c>
    </row>
    <row r="45" ht="15.75" customHeight="1" spans="1:16">
      <c r="A45" s="18" t="s">
        <v>21</v>
      </c>
      <c r="B45" s="18" t="s">
        <v>61</v>
      </c>
      <c r="C45" s="18" t="s">
        <v>17</v>
      </c>
      <c r="D45" s="18" t="s">
        <v>18</v>
      </c>
      <c r="E45" s="18" t="s">
        <v>24</v>
      </c>
      <c r="F45" s="18" t="s">
        <v>36</v>
      </c>
      <c r="G45" s="19">
        <v>40183</v>
      </c>
      <c r="H45" s="18">
        <v>466564547</v>
      </c>
      <c r="I45" s="19">
        <v>40226</v>
      </c>
      <c r="J45" s="18">
        <v>5269</v>
      </c>
      <c r="K45" s="20">
        <v>668.27</v>
      </c>
      <c r="L45" s="20">
        <v>502.54</v>
      </c>
      <c r="M45" s="20">
        <v>3521114.63</v>
      </c>
      <c r="N45" s="20">
        <v>2647883.26</v>
      </c>
      <c r="O45" s="20">
        <v>873231.37</v>
      </c>
      <c r="P45" s="21">
        <f t="shared" si="1"/>
        <v>2010</v>
      </c>
    </row>
    <row r="46" ht="15.75" customHeight="1" spans="1:16">
      <c r="A46" s="18" t="s">
        <v>21</v>
      </c>
      <c r="B46" s="18" t="s">
        <v>22</v>
      </c>
      <c r="C46" s="18" t="s">
        <v>48</v>
      </c>
      <c r="D46" s="18" t="s">
        <v>77</v>
      </c>
      <c r="E46" s="18" t="s">
        <v>24</v>
      </c>
      <c r="F46" s="18" t="s">
        <v>36</v>
      </c>
      <c r="G46" s="19">
        <v>40447</v>
      </c>
      <c r="H46" s="18">
        <v>276383634</v>
      </c>
      <c r="I46" s="19">
        <v>40481</v>
      </c>
      <c r="J46" s="18">
        <v>5152</v>
      </c>
      <c r="K46" s="20">
        <v>255.28</v>
      </c>
      <c r="L46" s="20">
        <v>159.42</v>
      </c>
      <c r="M46" s="20">
        <v>1315202.56</v>
      </c>
      <c r="N46" s="20">
        <v>821331.84</v>
      </c>
      <c r="O46" s="20">
        <v>493870.72</v>
      </c>
      <c r="P46" s="21">
        <f t="shared" si="1"/>
        <v>2010</v>
      </c>
    </row>
    <row r="47" ht="15.75" customHeight="1" spans="1:16">
      <c r="A47" s="18" t="s">
        <v>15</v>
      </c>
      <c r="B47" s="18" t="s">
        <v>47</v>
      </c>
      <c r="C47" s="18" t="s">
        <v>32</v>
      </c>
      <c r="D47" s="18" t="s">
        <v>52</v>
      </c>
      <c r="E47" s="18" t="s">
        <v>24</v>
      </c>
      <c r="F47" s="18" t="s">
        <v>25</v>
      </c>
      <c r="G47" s="19">
        <v>42032</v>
      </c>
      <c r="H47" s="18">
        <v>865854846</v>
      </c>
      <c r="I47" s="19">
        <v>42059</v>
      </c>
      <c r="J47" s="18">
        <v>7960</v>
      </c>
      <c r="K47" s="20">
        <v>47.45</v>
      </c>
      <c r="L47" s="20">
        <v>31.79</v>
      </c>
      <c r="M47" s="20">
        <v>377702</v>
      </c>
      <c r="N47" s="20">
        <v>253048.4</v>
      </c>
      <c r="O47" s="20">
        <v>124653.6</v>
      </c>
      <c r="P47" s="21">
        <f t="shared" si="1"/>
        <v>2015</v>
      </c>
    </row>
    <row r="48" ht="15.75" customHeight="1" spans="1:16">
      <c r="A48" s="18" t="s">
        <v>45</v>
      </c>
      <c r="B48" s="18" t="s">
        <v>60</v>
      </c>
      <c r="C48" s="18" t="s">
        <v>28</v>
      </c>
      <c r="D48" s="18" t="s">
        <v>54</v>
      </c>
      <c r="E48" s="18" t="s">
        <v>19</v>
      </c>
      <c r="F48" s="18" t="s">
        <v>20</v>
      </c>
      <c r="G48" s="19">
        <v>41298</v>
      </c>
      <c r="H48" s="18">
        <v>788042471</v>
      </c>
      <c r="I48" s="19">
        <v>41327</v>
      </c>
      <c r="J48" s="18">
        <v>7804</v>
      </c>
      <c r="K48" s="20">
        <v>437.2</v>
      </c>
      <c r="L48" s="20">
        <v>263.33</v>
      </c>
      <c r="M48" s="20">
        <v>3411908.8</v>
      </c>
      <c r="N48" s="20">
        <v>2055027.32</v>
      </c>
      <c r="O48" s="20">
        <v>1356881.48</v>
      </c>
      <c r="P48" s="21">
        <f t="shared" si="1"/>
        <v>2013</v>
      </c>
    </row>
    <row r="49" ht="15.75" customHeight="1" spans="1:16">
      <c r="A49" s="18" t="s">
        <v>21</v>
      </c>
      <c r="B49" s="18" t="s">
        <v>61</v>
      </c>
      <c r="C49" s="18" t="s">
        <v>65</v>
      </c>
      <c r="D49" s="18" t="s">
        <v>52</v>
      </c>
      <c r="E49" s="18" t="s">
        <v>24</v>
      </c>
      <c r="F49" s="18" t="s">
        <v>25</v>
      </c>
      <c r="G49" s="19">
        <v>42473</v>
      </c>
      <c r="H49" s="18">
        <v>383627673</v>
      </c>
      <c r="I49" s="19">
        <v>42480</v>
      </c>
      <c r="J49" s="18">
        <v>2079</v>
      </c>
      <c r="K49" s="20">
        <v>152.58</v>
      </c>
      <c r="L49" s="20">
        <v>97.44</v>
      </c>
      <c r="M49" s="20">
        <v>317213.82</v>
      </c>
      <c r="N49" s="20">
        <v>202577.76</v>
      </c>
      <c r="O49" s="20">
        <v>114636.06</v>
      </c>
      <c r="P49" s="21">
        <f t="shared" si="1"/>
        <v>2016</v>
      </c>
    </row>
    <row r="50" ht="15.75" customHeight="1" spans="1:16">
      <c r="A50" s="18" t="s">
        <v>30</v>
      </c>
      <c r="B50" s="18" t="s">
        <v>53</v>
      </c>
      <c r="C50" s="18" t="s">
        <v>68</v>
      </c>
      <c r="D50" s="18" t="s">
        <v>78</v>
      </c>
      <c r="E50" s="18" t="s">
        <v>24</v>
      </c>
      <c r="F50" s="18" t="s">
        <v>25</v>
      </c>
      <c r="G50" s="19">
        <v>41187</v>
      </c>
      <c r="H50" s="18">
        <v>552949741</v>
      </c>
      <c r="I50" s="19">
        <v>41221</v>
      </c>
      <c r="J50" s="18">
        <v>7017</v>
      </c>
      <c r="K50" s="20">
        <v>109.28</v>
      </c>
      <c r="L50" s="20">
        <v>35.84</v>
      </c>
      <c r="M50" s="20">
        <v>766817.76</v>
      </c>
      <c r="N50" s="20">
        <v>251489.28</v>
      </c>
      <c r="O50" s="20">
        <v>515328.48</v>
      </c>
      <c r="P50" s="21">
        <f t="shared" si="1"/>
        <v>2012</v>
      </c>
    </row>
    <row r="51" ht="15.75" customHeight="1" spans="1:16">
      <c r="A51" s="18" t="s">
        <v>21</v>
      </c>
      <c r="B51" s="18" t="s">
        <v>22</v>
      </c>
      <c r="C51" s="18" t="s">
        <v>28</v>
      </c>
      <c r="D51" s="18" t="s">
        <v>52</v>
      </c>
      <c r="E51" s="18" t="s">
        <v>19</v>
      </c>
      <c r="F51" s="18" t="s">
        <v>20</v>
      </c>
      <c r="G51" s="19">
        <v>42748</v>
      </c>
      <c r="H51" s="18">
        <v>687037795</v>
      </c>
      <c r="I51" s="19">
        <v>42757</v>
      </c>
      <c r="J51" s="18">
        <v>3249</v>
      </c>
      <c r="K51" s="20">
        <v>437.2</v>
      </c>
      <c r="L51" s="20">
        <v>263.33</v>
      </c>
      <c r="M51" s="20">
        <v>1420462.8</v>
      </c>
      <c r="N51" s="20">
        <v>855559.17</v>
      </c>
      <c r="O51" s="20">
        <v>564903.63</v>
      </c>
      <c r="P51" s="21">
        <f t="shared" si="1"/>
        <v>2017</v>
      </c>
    </row>
    <row r="52" ht="15.75" customHeight="1" spans="1:16">
      <c r="A52" s="18" t="s">
        <v>45</v>
      </c>
      <c r="B52" s="18" t="s">
        <v>58</v>
      </c>
      <c r="C52" s="18" t="s">
        <v>32</v>
      </c>
      <c r="D52" s="18" t="s">
        <v>79</v>
      </c>
      <c r="E52" s="18" t="s">
        <v>24</v>
      </c>
      <c r="F52" s="18" t="s">
        <v>36</v>
      </c>
      <c r="G52" s="19">
        <v>42995</v>
      </c>
      <c r="H52" s="18">
        <v>890118380</v>
      </c>
      <c r="I52" s="19">
        <v>43004</v>
      </c>
      <c r="J52" s="18">
        <v>5011</v>
      </c>
      <c r="K52" s="20">
        <v>47.45</v>
      </c>
      <c r="L52" s="20">
        <v>31.79</v>
      </c>
      <c r="M52" s="20">
        <v>237771.95</v>
      </c>
      <c r="N52" s="20">
        <v>159299.69</v>
      </c>
      <c r="O52" s="20">
        <v>78472.26</v>
      </c>
      <c r="P52" s="21">
        <f t="shared" si="1"/>
        <v>2017</v>
      </c>
    </row>
    <row r="53" ht="15.75" customHeight="1" spans="1:16">
      <c r="A53" s="18" t="s">
        <v>15</v>
      </c>
      <c r="B53" s="18" t="s">
        <v>69</v>
      </c>
      <c r="C53" s="18" t="s">
        <v>28</v>
      </c>
      <c r="D53" s="18" t="s">
        <v>64</v>
      </c>
      <c r="E53" s="18" t="s">
        <v>24</v>
      </c>
      <c r="F53" s="18" t="s">
        <v>36</v>
      </c>
      <c r="G53" s="19">
        <v>42916</v>
      </c>
      <c r="H53" s="18">
        <v>715418235</v>
      </c>
      <c r="I53" s="19">
        <v>42955</v>
      </c>
      <c r="J53" s="18">
        <v>4400</v>
      </c>
      <c r="K53" s="20">
        <v>437.2</v>
      </c>
      <c r="L53" s="20">
        <v>263.33</v>
      </c>
      <c r="M53" s="20">
        <v>1923680</v>
      </c>
      <c r="N53" s="20">
        <v>1158652</v>
      </c>
      <c r="O53" s="20">
        <v>765028</v>
      </c>
      <c r="P53" s="21">
        <f t="shared" si="1"/>
        <v>2017</v>
      </c>
    </row>
    <row r="54" ht="15.75" customHeight="1" spans="1:16">
      <c r="A54" s="18" t="s">
        <v>21</v>
      </c>
      <c r="B54" s="18" t="s">
        <v>70</v>
      </c>
      <c r="C54" s="18" t="s">
        <v>57</v>
      </c>
      <c r="D54" s="18" t="s">
        <v>29</v>
      </c>
      <c r="E54" s="18" t="s">
        <v>19</v>
      </c>
      <c r="F54" s="18" t="s">
        <v>25</v>
      </c>
      <c r="G54" s="19">
        <v>41619</v>
      </c>
      <c r="H54" s="18">
        <v>767225929</v>
      </c>
      <c r="I54" s="19">
        <v>41663</v>
      </c>
      <c r="J54" s="18">
        <v>1466</v>
      </c>
      <c r="K54" s="20">
        <v>9.33</v>
      </c>
      <c r="L54" s="20">
        <v>6.92</v>
      </c>
      <c r="M54" s="20">
        <v>13677.78</v>
      </c>
      <c r="N54" s="20">
        <v>10144.72</v>
      </c>
      <c r="O54" s="20">
        <v>3533.06</v>
      </c>
      <c r="P54" s="21">
        <f t="shared" si="1"/>
        <v>2013</v>
      </c>
    </row>
    <row r="55" ht="15.75" customHeight="1" spans="1:16">
      <c r="A55" s="18" t="s">
        <v>45</v>
      </c>
      <c r="B55" s="18" t="s">
        <v>60</v>
      </c>
      <c r="C55" s="18" t="s">
        <v>44</v>
      </c>
      <c r="D55" s="18" t="s">
        <v>79</v>
      </c>
      <c r="E55" s="18" t="s">
        <v>24</v>
      </c>
      <c r="F55" s="18" t="s">
        <v>40</v>
      </c>
      <c r="G55" s="19">
        <v>42953</v>
      </c>
      <c r="H55" s="18">
        <v>768823641</v>
      </c>
      <c r="I55" s="19">
        <v>42974</v>
      </c>
      <c r="J55" s="18">
        <v>9367</v>
      </c>
      <c r="K55" s="20">
        <v>154.06</v>
      </c>
      <c r="L55" s="20">
        <v>90.93</v>
      </c>
      <c r="M55" s="20">
        <v>1443080.02</v>
      </c>
      <c r="N55" s="20">
        <v>851741.31</v>
      </c>
      <c r="O55" s="20">
        <v>591338.71</v>
      </c>
      <c r="P55" s="21">
        <f t="shared" si="1"/>
        <v>2017</v>
      </c>
    </row>
    <row r="56" ht="15.75" customHeight="1" spans="1:16">
      <c r="A56" s="18" t="s">
        <v>21</v>
      </c>
      <c r="B56" s="18" t="s">
        <v>37</v>
      </c>
      <c r="C56" s="18" t="s">
        <v>32</v>
      </c>
      <c r="D56" s="18" t="s">
        <v>75</v>
      </c>
      <c r="E56" s="18" t="s">
        <v>19</v>
      </c>
      <c r="F56" s="18" t="s">
        <v>25</v>
      </c>
      <c r="G56" s="19">
        <v>41004</v>
      </c>
      <c r="H56" s="18">
        <v>647488156</v>
      </c>
      <c r="I56" s="19">
        <v>41019</v>
      </c>
      <c r="J56" s="18">
        <v>7943</v>
      </c>
      <c r="K56" s="20">
        <v>47.45</v>
      </c>
      <c r="L56" s="20">
        <v>31.79</v>
      </c>
      <c r="M56" s="20">
        <v>376895.35</v>
      </c>
      <c r="N56" s="20">
        <v>252507.97</v>
      </c>
      <c r="O56" s="20">
        <v>124387.38</v>
      </c>
      <c r="P56" s="21">
        <f t="shared" si="1"/>
        <v>2012</v>
      </c>
    </row>
    <row r="57" ht="15.75" customHeight="1" spans="1:16">
      <c r="A57" s="18" t="s">
        <v>45</v>
      </c>
      <c r="B57" s="18" t="s">
        <v>80</v>
      </c>
      <c r="C57" s="18" t="s">
        <v>57</v>
      </c>
      <c r="D57" s="18" t="s">
        <v>81</v>
      </c>
      <c r="E57" s="18" t="s">
        <v>24</v>
      </c>
      <c r="F57" s="18" t="s">
        <v>25</v>
      </c>
      <c r="G57" s="19">
        <v>42683</v>
      </c>
      <c r="H57" s="18">
        <v>344103359</v>
      </c>
      <c r="I57" s="19">
        <v>42711</v>
      </c>
      <c r="J57" s="18">
        <v>3186</v>
      </c>
      <c r="K57" s="20">
        <v>9.33</v>
      </c>
      <c r="L57" s="20">
        <v>6.92</v>
      </c>
      <c r="M57" s="20">
        <v>29725.38</v>
      </c>
      <c r="N57" s="20">
        <v>22047.12</v>
      </c>
      <c r="O57" s="20">
        <v>7678.26</v>
      </c>
      <c r="P57" s="21">
        <f t="shared" si="1"/>
        <v>2016</v>
      </c>
    </row>
    <row r="58" ht="15.75" customHeight="1" spans="1:16">
      <c r="A58" s="18" t="s">
        <v>62</v>
      </c>
      <c r="B58" s="18" t="s">
        <v>67</v>
      </c>
      <c r="C58" s="18" t="s">
        <v>38</v>
      </c>
      <c r="D58" s="18" t="s">
        <v>43</v>
      </c>
      <c r="E58" s="18" t="s">
        <v>19</v>
      </c>
      <c r="F58" s="18" t="s">
        <v>40</v>
      </c>
      <c r="G58" s="19">
        <v>42322</v>
      </c>
      <c r="H58" s="18">
        <v>603011990</v>
      </c>
      <c r="I58" s="19">
        <v>42350</v>
      </c>
      <c r="J58" s="18">
        <v>7757</v>
      </c>
      <c r="K58" s="20">
        <v>205.7</v>
      </c>
      <c r="L58" s="20">
        <v>117.11</v>
      </c>
      <c r="M58" s="20">
        <v>1595614.9</v>
      </c>
      <c r="N58" s="20">
        <v>908422.27</v>
      </c>
      <c r="O58" s="20">
        <v>687192.63</v>
      </c>
      <c r="P58" s="21">
        <f t="shared" si="1"/>
        <v>2015</v>
      </c>
    </row>
    <row r="59" ht="15.75" customHeight="1" spans="1:16">
      <c r="A59" s="18" t="s">
        <v>21</v>
      </c>
      <c r="B59" s="18" t="s">
        <v>22</v>
      </c>
      <c r="C59" s="18" t="s">
        <v>28</v>
      </c>
      <c r="D59" s="18" t="s">
        <v>59</v>
      </c>
      <c r="E59" s="18" t="s">
        <v>19</v>
      </c>
      <c r="F59" s="18" t="s">
        <v>25</v>
      </c>
      <c r="G59" s="19">
        <v>43093</v>
      </c>
      <c r="H59" s="18">
        <v>755209744</v>
      </c>
      <c r="I59" s="19">
        <v>43127</v>
      </c>
      <c r="J59" s="18">
        <v>9187</v>
      </c>
      <c r="K59" s="20">
        <v>437.2</v>
      </c>
      <c r="L59" s="20">
        <v>263.33</v>
      </c>
      <c r="M59" s="20">
        <v>4016556.4</v>
      </c>
      <c r="N59" s="20">
        <v>2419212.71</v>
      </c>
      <c r="O59" s="20">
        <v>1597343.69</v>
      </c>
      <c r="P59" s="21">
        <f t="shared" si="1"/>
        <v>2017</v>
      </c>
    </row>
    <row r="60" ht="15.75" customHeight="1" spans="1:16">
      <c r="A60" s="18" t="s">
        <v>62</v>
      </c>
      <c r="B60" s="18" t="s">
        <v>74</v>
      </c>
      <c r="C60" s="18" t="s">
        <v>48</v>
      </c>
      <c r="D60" s="18" t="s">
        <v>49</v>
      </c>
      <c r="E60" s="18" t="s">
        <v>24</v>
      </c>
      <c r="F60" s="18" t="s">
        <v>36</v>
      </c>
      <c r="G60" s="19">
        <v>42671</v>
      </c>
      <c r="H60" s="18">
        <v>492073291</v>
      </c>
      <c r="I60" s="19">
        <v>42694</v>
      </c>
      <c r="J60" s="18">
        <v>4760</v>
      </c>
      <c r="K60" s="20">
        <v>255.28</v>
      </c>
      <c r="L60" s="20">
        <v>159.42</v>
      </c>
      <c r="M60" s="20">
        <v>1215132.8</v>
      </c>
      <c r="N60" s="20">
        <v>758839.2</v>
      </c>
      <c r="O60" s="20">
        <v>456293.6</v>
      </c>
      <c r="P60" s="21">
        <f t="shared" si="1"/>
        <v>2016</v>
      </c>
    </row>
    <row r="61" ht="15.75" customHeight="1" spans="1:16">
      <c r="A61" s="18" t="s">
        <v>15</v>
      </c>
      <c r="B61" s="18" t="s">
        <v>69</v>
      </c>
      <c r="C61" s="18" t="s">
        <v>38</v>
      </c>
      <c r="D61" s="18" t="s">
        <v>79</v>
      </c>
      <c r="E61" s="18" t="s">
        <v>24</v>
      </c>
      <c r="F61" s="18" t="s">
        <v>40</v>
      </c>
      <c r="G61" s="19">
        <v>40322</v>
      </c>
      <c r="H61" s="18">
        <v>285588834</v>
      </c>
      <c r="I61" s="19">
        <v>40331</v>
      </c>
      <c r="J61" s="18">
        <v>4891</v>
      </c>
      <c r="K61" s="20">
        <v>205.7</v>
      </c>
      <c r="L61" s="20">
        <v>117.11</v>
      </c>
      <c r="M61" s="20">
        <v>1006078.7</v>
      </c>
      <c r="N61" s="20">
        <v>572785.01</v>
      </c>
      <c r="O61" s="20">
        <v>433293.69</v>
      </c>
      <c r="P61" s="21">
        <f t="shared" si="1"/>
        <v>2010</v>
      </c>
    </row>
    <row r="62" ht="15.75" customHeight="1" spans="1:16">
      <c r="A62" s="18" t="s">
        <v>62</v>
      </c>
      <c r="B62" s="18" t="s">
        <v>67</v>
      </c>
      <c r="C62" s="18" t="s">
        <v>57</v>
      </c>
      <c r="D62" s="18" t="s">
        <v>81</v>
      </c>
      <c r="E62" s="18" t="s">
        <v>19</v>
      </c>
      <c r="F62" s="18" t="s">
        <v>40</v>
      </c>
      <c r="G62" s="19">
        <v>41346</v>
      </c>
      <c r="H62" s="18">
        <v>491727212</v>
      </c>
      <c r="I62" s="19">
        <v>41389</v>
      </c>
      <c r="J62" s="18">
        <v>8260</v>
      </c>
      <c r="K62" s="20">
        <v>9.33</v>
      </c>
      <c r="L62" s="20">
        <v>6.92</v>
      </c>
      <c r="M62" s="20">
        <v>77065.8</v>
      </c>
      <c r="N62" s="20">
        <v>57159.2</v>
      </c>
      <c r="O62" s="20">
        <v>19906.6</v>
      </c>
      <c r="P62" s="21">
        <f t="shared" si="1"/>
        <v>2013</v>
      </c>
    </row>
    <row r="63" ht="15.75" customHeight="1" spans="1:16">
      <c r="A63" s="18" t="s">
        <v>26</v>
      </c>
      <c r="B63" s="18" t="s">
        <v>82</v>
      </c>
      <c r="C63" s="18" t="s">
        <v>65</v>
      </c>
      <c r="D63" s="18" t="s">
        <v>78</v>
      </c>
      <c r="E63" s="18" t="s">
        <v>19</v>
      </c>
      <c r="F63" s="18" t="s">
        <v>20</v>
      </c>
      <c r="G63" s="19">
        <v>41335</v>
      </c>
      <c r="H63" s="18">
        <v>691434966</v>
      </c>
      <c r="I63" s="19">
        <v>41374</v>
      </c>
      <c r="J63" s="18">
        <v>9324</v>
      </c>
      <c r="K63" s="20">
        <v>152.58</v>
      </c>
      <c r="L63" s="20">
        <v>97.44</v>
      </c>
      <c r="M63" s="20">
        <v>1422655.92</v>
      </c>
      <c r="N63" s="20">
        <v>908530.56</v>
      </c>
      <c r="O63" s="20">
        <v>514125.36</v>
      </c>
      <c r="P63" s="21">
        <f t="shared" si="1"/>
        <v>2013</v>
      </c>
    </row>
    <row r="64" ht="15.75" customHeight="1" spans="1:16">
      <c r="A64" s="18" t="s">
        <v>30</v>
      </c>
      <c r="B64" s="18" t="s">
        <v>31</v>
      </c>
      <c r="C64" s="18" t="s">
        <v>44</v>
      </c>
      <c r="D64" s="18" t="s">
        <v>39</v>
      </c>
      <c r="E64" s="18" t="s">
        <v>24</v>
      </c>
      <c r="F64" s="18" t="s">
        <v>25</v>
      </c>
      <c r="G64" s="19">
        <v>41132</v>
      </c>
      <c r="H64" s="18">
        <v>534318588</v>
      </c>
      <c r="I64" s="19">
        <v>41153</v>
      </c>
      <c r="J64" s="18">
        <v>1942</v>
      </c>
      <c r="K64" s="20">
        <v>154.06</v>
      </c>
      <c r="L64" s="20">
        <v>90.93</v>
      </c>
      <c r="M64" s="20">
        <v>299184.52</v>
      </c>
      <c r="N64" s="20">
        <v>176586.06</v>
      </c>
      <c r="O64" s="20">
        <v>122598.46</v>
      </c>
      <c r="P64" s="21">
        <f t="shared" si="1"/>
        <v>2012</v>
      </c>
    </row>
    <row r="65" ht="15.75" customHeight="1" spans="1:16">
      <c r="A65" s="18" t="s">
        <v>41</v>
      </c>
      <c r="B65" s="18" t="s">
        <v>42</v>
      </c>
      <c r="C65" s="18" t="s">
        <v>17</v>
      </c>
      <c r="D65" s="18" t="s">
        <v>55</v>
      </c>
      <c r="E65" s="18" t="s">
        <v>19</v>
      </c>
      <c r="F65" s="18" t="s">
        <v>20</v>
      </c>
      <c r="G65" s="19">
        <v>43021</v>
      </c>
      <c r="H65" s="18">
        <v>449390340</v>
      </c>
      <c r="I65" s="19">
        <v>43027</v>
      </c>
      <c r="J65" s="18">
        <v>6572</v>
      </c>
      <c r="K65" s="20">
        <v>668.27</v>
      </c>
      <c r="L65" s="20">
        <v>502.54</v>
      </c>
      <c r="M65" s="20">
        <v>4391870.44</v>
      </c>
      <c r="N65" s="20">
        <v>3302692.88</v>
      </c>
      <c r="O65" s="20">
        <v>1089177.56</v>
      </c>
      <c r="P65" s="21">
        <f t="shared" si="1"/>
        <v>2017</v>
      </c>
    </row>
    <row r="66" ht="15.75" customHeight="1" spans="1:16">
      <c r="A66" s="18" t="s">
        <v>21</v>
      </c>
      <c r="B66" s="18" t="s">
        <v>73</v>
      </c>
      <c r="C66" s="18" t="s">
        <v>48</v>
      </c>
      <c r="D66" s="18" t="s">
        <v>77</v>
      </c>
      <c r="E66" s="18" t="s">
        <v>24</v>
      </c>
      <c r="F66" s="18" t="s">
        <v>25</v>
      </c>
      <c r="G66" s="19">
        <v>42035</v>
      </c>
      <c r="H66" s="18">
        <v>369722099</v>
      </c>
      <c r="I66" s="19">
        <v>42061</v>
      </c>
      <c r="J66" s="18">
        <v>9102</v>
      </c>
      <c r="K66" s="20">
        <v>255.28</v>
      </c>
      <c r="L66" s="20">
        <v>159.42</v>
      </c>
      <c r="M66" s="20">
        <v>2323558.56</v>
      </c>
      <c r="N66" s="20">
        <v>1451040.84</v>
      </c>
      <c r="O66" s="20">
        <v>872517.72</v>
      </c>
      <c r="P66" s="21">
        <f t="shared" si="1"/>
        <v>2015</v>
      </c>
    </row>
    <row r="67" ht="15.75" customHeight="1" spans="1:16">
      <c r="A67" s="18" t="s">
        <v>15</v>
      </c>
      <c r="B67" s="18" t="s">
        <v>16</v>
      </c>
      <c r="C67" s="18" t="s">
        <v>38</v>
      </c>
      <c r="D67" s="18" t="s">
        <v>81</v>
      </c>
      <c r="E67" s="18" t="s">
        <v>24</v>
      </c>
      <c r="F67" s="18" t="s">
        <v>36</v>
      </c>
      <c r="G67" s="19">
        <v>41989</v>
      </c>
      <c r="H67" s="18">
        <v>848277850</v>
      </c>
      <c r="I67" s="19">
        <v>42032</v>
      </c>
      <c r="J67" s="18">
        <v>9305</v>
      </c>
      <c r="K67" s="20">
        <v>205.7</v>
      </c>
      <c r="L67" s="20">
        <v>117.11</v>
      </c>
      <c r="M67" s="20">
        <v>1914038.5</v>
      </c>
      <c r="N67" s="20">
        <v>1089708.55</v>
      </c>
      <c r="O67" s="20">
        <v>824329.95</v>
      </c>
      <c r="P67" s="21">
        <f t="shared" ref="P67:P98" si="2">YEAR(G67)</f>
        <v>2014</v>
      </c>
    </row>
    <row r="68" ht="15.75" customHeight="1" spans="1:16">
      <c r="A68" s="18" t="s">
        <v>26</v>
      </c>
      <c r="B68" s="18" t="s">
        <v>50</v>
      </c>
      <c r="C68" s="18" t="s">
        <v>65</v>
      </c>
      <c r="D68" s="18" t="s">
        <v>23</v>
      </c>
      <c r="E68" s="18" t="s">
        <v>19</v>
      </c>
      <c r="F68" s="18" t="s">
        <v>25</v>
      </c>
      <c r="G68" s="19">
        <v>40932</v>
      </c>
      <c r="H68" s="18">
        <v>406974333</v>
      </c>
      <c r="I68" s="19">
        <v>40964</v>
      </c>
      <c r="J68" s="18">
        <v>9673</v>
      </c>
      <c r="K68" s="20">
        <v>152.58</v>
      </c>
      <c r="L68" s="20">
        <v>97.44</v>
      </c>
      <c r="M68" s="20">
        <v>1475906.34</v>
      </c>
      <c r="N68" s="20">
        <v>942537.12</v>
      </c>
      <c r="O68" s="20">
        <v>533369.22</v>
      </c>
      <c r="P68" s="21">
        <f t="shared" si="2"/>
        <v>2012</v>
      </c>
    </row>
    <row r="69" ht="15.75" customHeight="1" spans="1:16">
      <c r="A69" s="18" t="s">
        <v>45</v>
      </c>
      <c r="B69" s="18" t="s">
        <v>46</v>
      </c>
      <c r="C69" s="18" t="s">
        <v>17</v>
      </c>
      <c r="D69" s="18" t="s">
        <v>51</v>
      </c>
      <c r="E69" s="18" t="s">
        <v>19</v>
      </c>
      <c r="F69" s="18" t="s">
        <v>25</v>
      </c>
      <c r="G69" s="19">
        <v>42613</v>
      </c>
      <c r="H69" s="18">
        <v>745202424</v>
      </c>
      <c r="I69" s="19">
        <v>42630</v>
      </c>
      <c r="J69" s="18">
        <v>1614</v>
      </c>
      <c r="K69" s="20">
        <v>668.27</v>
      </c>
      <c r="L69" s="20">
        <v>502.54</v>
      </c>
      <c r="M69" s="20">
        <v>1078587.78</v>
      </c>
      <c r="N69" s="20">
        <v>811099.56</v>
      </c>
      <c r="O69" s="20">
        <v>267488.22</v>
      </c>
      <c r="P69" s="21">
        <f t="shared" si="2"/>
        <v>2016</v>
      </c>
    </row>
    <row r="70" ht="15.75" customHeight="1" spans="1:16">
      <c r="A70" s="18" t="s">
        <v>45</v>
      </c>
      <c r="B70" s="18" t="s">
        <v>80</v>
      </c>
      <c r="C70" s="18" t="s">
        <v>34</v>
      </c>
      <c r="D70" s="18" t="s">
        <v>54</v>
      </c>
      <c r="E70" s="18" t="s">
        <v>24</v>
      </c>
      <c r="F70" s="18" t="s">
        <v>25</v>
      </c>
      <c r="G70" s="19">
        <v>40312</v>
      </c>
      <c r="H70" s="18">
        <v>340539820</v>
      </c>
      <c r="I70" s="19">
        <v>40348</v>
      </c>
      <c r="J70" s="18">
        <v>2252</v>
      </c>
      <c r="K70" s="20">
        <v>651.21</v>
      </c>
      <c r="L70" s="20">
        <v>524.96</v>
      </c>
      <c r="M70" s="20">
        <v>1466524.92</v>
      </c>
      <c r="N70" s="20">
        <v>1182209.92</v>
      </c>
      <c r="O70" s="20">
        <v>284315</v>
      </c>
      <c r="P70" s="21">
        <f t="shared" si="2"/>
        <v>2010</v>
      </c>
    </row>
    <row r="71" ht="15.75" customHeight="1" spans="1:16">
      <c r="A71" s="18" t="s">
        <v>15</v>
      </c>
      <c r="B71" s="18" t="s">
        <v>16</v>
      </c>
      <c r="C71" s="18" t="s">
        <v>68</v>
      </c>
      <c r="D71" s="18" t="s">
        <v>18</v>
      </c>
      <c r="E71" s="18" t="s">
        <v>19</v>
      </c>
      <c r="F71" s="18" t="s">
        <v>36</v>
      </c>
      <c r="G71" s="19">
        <v>41431</v>
      </c>
      <c r="H71" s="18">
        <v>331302370</v>
      </c>
      <c r="I71" s="19">
        <v>41471</v>
      </c>
      <c r="J71" s="18">
        <v>6590</v>
      </c>
      <c r="K71" s="20">
        <v>109.28</v>
      </c>
      <c r="L71" s="20">
        <v>35.84</v>
      </c>
      <c r="M71" s="20">
        <v>720155.2</v>
      </c>
      <c r="N71" s="20">
        <v>236185.6</v>
      </c>
      <c r="O71" s="20">
        <v>483969.6</v>
      </c>
      <c r="P71" s="21">
        <f t="shared" si="2"/>
        <v>2013</v>
      </c>
    </row>
    <row r="72" ht="15.75" customHeight="1" spans="1:16">
      <c r="A72" s="18" t="s">
        <v>62</v>
      </c>
      <c r="B72" s="18" t="s">
        <v>63</v>
      </c>
      <c r="C72" s="18" t="s">
        <v>28</v>
      </c>
      <c r="D72" s="18" t="s">
        <v>18</v>
      </c>
      <c r="E72" s="18" t="s">
        <v>24</v>
      </c>
      <c r="F72" s="18" t="s">
        <v>20</v>
      </c>
      <c r="G72" s="19">
        <v>42882</v>
      </c>
      <c r="H72" s="18">
        <v>295190712</v>
      </c>
      <c r="I72" s="19">
        <v>42909</v>
      </c>
      <c r="J72" s="18">
        <v>7514</v>
      </c>
      <c r="K72" s="20">
        <v>437.2</v>
      </c>
      <c r="L72" s="20">
        <v>263.33</v>
      </c>
      <c r="M72" s="20">
        <v>3285120.8</v>
      </c>
      <c r="N72" s="20">
        <v>1978661.62</v>
      </c>
      <c r="O72" s="20">
        <v>1306459.18</v>
      </c>
      <c r="P72" s="21">
        <f t="shared" si="2"/>
        <v>2017</v>
      </c>
    </row>
    <row r="73" ht="15.75" customHeight="1" spans="1:16">
      <c r="A73" s="18" t="s">
        <v>45</v>
      </c>
      <c r="B73" s="18" t="s">
        <v>58</v>
      </c>
      <c r="C73" s="18" t="s">
        <v>17</v>
      </c>
      <c r="D73" s="18" t="s">
        <v>66</v>
      </c>
      <c r="E73" s="18" t="s">
        <v>24</v>
      </c>
      <c r="F73" s="18" t="s">
        <v>36</v>
      </c>
      <c r="G73" s="19">
        <v>40846</v>
      </c>
      <c r="H73" s="18">
        <v>828769657</v>
      </c>
      <c r="I73" s="19">
        <v>40858</v>
      </c>
      <c r="J73" s="18">
        <v>7219</v>
      </c>
      <c r="K73" s="20">
        <v>668.27</v>
      </c>
      <c r="L73" s="20">
        <v>502.54</v>
      </c>
      <c r="M73" s="20">
        <v>4824241.13</v>
      </c>
      <c r="N73" s="20">
        <v>3627836.26</v>
      </c>
      <c r="O73" s="20">
        <v>1196404.87</v>
      </c>
      <c r="P73" s="21">
        <f t="shared" si="2"/>
        <v>2011</v>
      </c>
    </row>
    <row r="74" ht="15.75" customHeight="1" spans="1:16">
      <c r="A74" s="18" t="s">
        <v>26</v>
      </c>
      <c r="B74" s="18" t="s">
        <v>82</v>
      </c>
      <c r="C74" s="18" t="s">
        <v>44</v>
      </c>
      <c r="D74" s="18" t="s">
        <v>52</v>
      </c>
      <c r="E74" s="18" t="s">
        <v>19</v>
      </c>
      <c r="F74" s="18" t="s">
        <v>36</v>
      </c>
      <c r="G74" s="19">
        <v>42125</v>
      </c>
      <c r="H74" s="18">
        <v>227833288</v>
      </c>
      <c r="I74" s="19">
        <v>42146</v>
      </c>
      <c r="J74" s="18">
        <v>6532</v>
      </c>
      <c r="K74" s="20">
        <v>154.06</v>
      </c>
      <c r="L74" s="20">
        <v>90.93</v>
      </c>
      <c r="M74" s="20">
        <v>1006319.92</v>
      </c>
      <c r="N74" s="20">
        <v>593954.76</v>
      </c>
      <c r="O74" s="20">
        <v>412365.16</v>
      </c>
      <c r="P74" s="21">
        <f t="shared" si="2"/>
        <v>2015</v>
      </c>
    </row>
    <row r="75" ht="15.75" customHeight="1" spans="1:16">
      <c r="A75" s="18" t="s">
        <v>45</v>
      </c>
      <c r="B75" s="18" t="s">
        <v>60</v>
      </c>
      <c r="C75" s="18" t="s">
        <v>48</v>
      </c>
      <c r="D75" s="18" t="s">
        <v>66</v>
      </c>
      <c r="E75" s="18" t="s">
        <v>24</v>
      </c>
      <c r="F75" s="18" t="s">
        <v>40</v>
      </c>
      <c r="G75" s="19">
        <v>40434</v>
      </c>
      <c r="H75" s="18">
        <v>587114542</v>
      </c>
      <c r="I75" s="19">
        <v>40443</v>
      </c>
      <c r="J75" s="18">
        <v>409</v>
      </c>
      <c r="K75" s="20">
        <v>255.28</v>
      </c>
      <c r="L75" s="20">
        <v>159.42</v>
      </c>
      <c r="M75" s="20">
        <v>104409.52</v>
      </c>
      <c r="N75" s="20">
        <v>65202.78</v>
      </c>
      <c r="O75" s="20">
        <v>39206.74</v>
      </c>
      <c r="P75" s="21">
        <f t="shared" si="2"/>
        <v>2010</v>
      </c>
    </row>
    <row r="76" ht="15.75" customHeight="1" spans="1:16">
      <c r="A76" s="18" t="s">
        <v>41</v>
      </c>
      <c r="B76" s="18" t="s">
        <v>71</v>
      </c>
      <c r="C76" s="18" t="s">
        <v>57</v>
      </c>
      <c r="D76" s="18" t="s">
        <v>54</v>
      </c>
      <c r="E76" s="18" t="s">
        <v>24</v>
      </c>
      <c r="F76" s="18" t="s">
        <v>25</v>
      </c>
      <c r="G76" s="19">
        <v>42372</v>
      </c>
      <c r="H76" s="18">
        <v>746035632</v>
      </c>
      <c r="I76" s="19">
        <v>42408</v>
      </c>
      <c r="J76" s="18">
        <v>7849</v>
      </c>
      <c r="K76" s="20">
        <v>9.33</v>
      </c>
      <c r="L76" s="20">
        <v>6.92</v>
      </c>
      <c r="M76" s="20">
        <v>73231.17</v>
      </c>
      <c r="N76" s="20">
        <v>54315.08</v>
      </c>
      <c r="O76" s="20">
        <v>18916.09</v>
      </c>
      <c r="P76" s="21">
        <f t="shared" si="2"/>
        <v>2016</v>
      </c>
    </row>
    <row r="77" ht="15.75" customHeight="1" spans="1:16">
      <c r="A77" s="18" t="s">
        <v>15</v>
      </c>
      <c r="B77" s="18" t="s">
        <v>16</v>
      </c>
      <c r="C77" s="18" t="s">
        <v>68</v>
      </c>
      <c r="D77" s="18" t="s">
        <v>49</v>
      </c>
      <c r="E77" s="18" t="s">
        <v>19</v>
      </c>
      <c r="F77" s="18" t="s">
        <v>25</v>
      </c>
      <c r="G77" s="19">
        <v>41812</v>
      </c>
      <c r="H77" s="18">
        <v>674890494</v>
      </c>
      <c r="I77" s="19">
        <v>41851</v>
      </c>
      <c r="J77" s="18">
        <v>784</v>
      </c>
      <c r="K77" s="20">
        <v>109.28</v>
      </c>
      <c r="L77" s="20">
        <v>35.84</v>
      </c>
      <c r="M77" s="20">
        <v>85675.52</v>
      </c>
      <c r="N77" s="20">
        <v>28098.56</v>
      </c>
      <c r="O77" s="20">
        <v>57576.96</v>
      </c>
      <c r="P77" s="21">
        <f t="shared" si="2"/>
        <v>2014</v>
      </c>
    </row>
    <row r="78" ht="15.75" customHeight="1" spans="1:16">
      <c r="A78" s="18" t="s">
        <v>21</v>
      </c>
      <c r="B78" s="18" t="s">
        <v>73</v>
      </c>
      <c r="C78" s="18" t="s">
        <v>28</v>
      </c>
      <c r="D78" s="18" t="s">
        <v>52</v>
      </c>
      <c r="E78" s="18" t="s">
        <v>19</v>
      </c>
      <c r="F78" s="18" t="s">
        <v>25</v>
      </c>
      <c r="G78" s="19">
        <v>42072</v>
      </c>
      <c r="H78" s="18">
        <v>338077364</v>
      </c>
      <c r="I78" s="19">
        <v>42079</v>
      </c>
      <c r="J78" s="18">
        <v>7590</v>
      </c>
      <c r="K78" s="20">
        <v>437.2</v>
      </c>
      <c r="L78" s="20">
        <v>263.33</v>
      </c>
      <c r="M78" s="20">
        <v>3318348</v>
      </c>
      <c r="N78" s="20">
        <v>1998674.7</v>
      </c>
      <c r="O78" s="20">
        <v>1319673.3</v>
      </c>
      <c r="P78" s="21">
        <f t="shared" si="2"/>
        <v>2015</v>
      </c>
    </row>
    <row r="79" ht="15.75" customHeight="1" spans="1:16">
      <c r="A79" s="18" t="s">
        <v>21</v>
      </c>
      <c r="B79" s="18" t="s">
        <v>83</v>
      </c>
      <c r="C79" s="18" t="s">
        <v>57</v>
      </c>
      <c r="D79" s="18" t="s">
        <v>55</v>
      </c>
      <c r="E79" s="18" t="s">
        <v>24</v>
      </c>
      <c r="F79" s="18" t="s">
        <v>40</v>
      </c>
      <c r="G79" s="19">
        <v>41347</v>
      </c>
      <c r="H79" s="18">
        <v>961330509</v>
      </c>
      <c r="I79" s="19">
        <v>41372</v>
      </c>
      <c r="J79" s="18">
        <v>7000</v>
      </c>
      <c r="K79" s="20">
        <v>9.33</v>
      </c>
      <c r="L79" s="20">
        <v>6.92</v>
      </c>
      <c r="M79" s="20">
        <v>65310</v>
      </c>
      <c r="N79" s="20">
        <v>48440</v>
      </c>
      <c r="O79" s="20">
        <v>16870</v>
      </c>
      <c r="P79" s="21">
        <f t="shared" si="2"/>
        <v>2013</v>
      </c>
    </row>
    <row r="80" ht="15.75" customHeight="1" spans="1:16">
      <c r="A80" s="18" t="s">
        <v>41</v>
      </c>
      <c r="B80" s="18" t="s">
        <v>42</v>
      </c>
      <c r="C80" s="18" t="s">
        <v>48</v>
      </c>
      <c r="D80" s="18" t="s">
        <v>59</v>
      </c>
      <c r="E80" s="18" t="s">
        <v>19</v>
      </c>
      <c r="F80" s="18" t="s">
        <v>36</v>
      </c>
      <c r="G80" s="19">
        <v>41648</v>
      </c>
      <c r="H80" s="18">
        <v>837448816</v>
      </c>
      <c r="I80" s="19">
        <v>41653</v>
      </c>
      <c r="J80" s="18">
        <v>3819</v>
      </c>
      <c r="K80" s="20">
        <v>255.28</v>
      </c>
      <c r="L80" s="20">
        <v>159.42</v>
      </c>
      <c r="M80" s="20">
        <v>974914.32</v>
      </c>
      <c r="N80" s="20">
        <v>608824.98</v>
      </c>
      <c r="O80" s="20">
        <v>366089.34</v>
      </c>
      <c r="P80" s="21">
        <f t="shared" si="2"/>
        <v>2014</v>
      </c>
    </row>
    <row r="81" ht="15.75" customHeight="1" spans="1:16">
      <c r="A81" s="18" t="s">
        <v>15</v>
      </c>
      <c r="B81" s="18" t="s">
        <v>47</v>
      </c>
      <c r="C81" s="18" t="s">
        <v>32</v>
      </c>
      <c r="D81" s="18" t="s">
        <v>75</v>
      </c>
      <c r="E81" s="18" t="s">
        <v>24</v>
      </c>
      <c r="F81" s="18" t="s">
        <v>20</v>
      </c>
      <c r="G81" s="19">
        <v>40949</v>
      </c>
      <c r="H81" s="18">
        <v>385124544</v>
      </c>
      <c r="I81" s="19">
        <v>40965</v>
      </c>
      <c r="J81" s="18">
        <v>1477</v>
      </c>
      <c r="K81" s="20">
        <v>47.45</v>
      </c>
      <c r="L81" s="20">
        <v>31.79</v>
      </c>
      <c r="M81" s="20">
        <v>70083.65</v>
      </c>
      <c r="N81" s="20">
        <v>46953.83</v>
      </c>
      <c r="O81" s="20">
        <v>23129.82</v>
      </c>
      <c r="P81" s="21">
        <f t="shared" si="2"/>
        <v>2012</v>
      </c>
    </row>
    <row r="82" ht="15.75" customHeight="1" spans="1:16">
      <c r="A82" s="18" t="s">
        <v>45</v>
      </c>
      <c r="B82" s="18" t="s">
        <v>60</v>
      </c>
      <c r="C82" s="18" t="s">
        <v>34</v>
      </c>
      <c r="D82" s="18" t="s">
        <v>49</v>
      </c>
      <c r="E82" s="18" t="s">
        <v>24</v>
      </c>
      <c r="F82" s="18" t="s">
        <v>40</v>
      </c>
      <c r="G82" s="19">
        <v>41431</v>
      </c>
      <c r="H82" s="18">
        <v>698552461</v>
      </c>
      <c r="I82" s="19">
        <v>41456</v>
      </c>
      <c r="J82" s="18">
        <v>5073</v>
      </c>
      <c r="K82" s="20">
        <v>651.21</v>
      </c>
      <c r="L82" s="20">
        <v>524.96</v>
      </c>
      <c r="M82" s="20">
        <v>3303588.33</v>
      </c>
      <c r="N82" s="20">
        <v>2663122.08</v>
      </c>
      <c r="O82" s="20">
        <v>640466.25</v>
      </c>
      <c r="P82" s="21">
        <f t="shared" si="2"/>
        <v>2013</v>
      </c>
    </row>
    <row r="83" ht="15.75" customHeight="1" spans="1:16">
      <c r="A83" s="18" t="s">
        <v>30</v>
      </c>
      <c r="B83" s="18" t="s">
        <v>31</v>
      </c>
      <c r="C83" s="18" t="s">
        <v>65</v>
      </c>
      <c r="D83" s="18" t="s">
        <v>66</v>
      </c>
      <c r="E83" s="18" t="s">
        <v>24</v>
      </c>
      <c r="F83" s="18" t="s">
        <v>36</v>
      </c>
      <c r="G83" s="19">
        <v>42964</v>
      </c>
      <c r="H83" s="18">
        <v>564233777</v>
      </c>
      <c r="I83" s="19">
        <v>43006</v>
      </c>
      <c r="J83" s="18">
        <v>6641</v>
      </c>
      <c r="K83" s="20">
        <v>152.58</v>
      </c>
      <c r="L83" s="20">
        <v>97.44</v>
      </c>
      <c r="M83" s="20">
        <v>1013283.78</v>
      </c>
      <c r="N83" s="20">
        <v>647099.04</v>
      </c>
      <c r="O83" s="20">
        <v>366184.74</v>
      </c>
      <c r="P83" s="21">
        <f t="shared" si="2"/>
        <v>2017</v>
      </c>
    </row>
    <row r="84" ht="15.75" customHeight="1" spans="1:16">
      <c r="A84" s="18" t="s">
        <v>26</v>
      </c>
      <c r="B84" s="18" t="s">
        <v>82</v>
      </c>
      <c r="C84" s="18" t="s">
        <v>48</v>
      </c>
      <c r="D84" s="18" t="s">
        <v>75</v>
      </c>
      <c r="E84" s="18" t="s">
        <v>24</v>
      </c>
      <c r="F84" s="18" t="s">
        <v>25</v>
      </c>
      <c r="G84" s="19">
        <v>40344</v>
      </c>
      <c r="H84" s="18">
        <v>244538583</v>
      </c>
      <c r="I84" s="19">
        <v>40381</v>
      </c>
      <c r="J84" s="18">
        <v>9950</v>
      </c>
      <c r="K84" s="20">
        <v>255.28</v>
      </c>
      <c r="L84" s="20">
        <v>159.42</v>
      </c>
      <c r="M84" s="20">
        <v>2540036</v>
      </c>
      <c r="N84" s="20">
        <v>1586229</v>
      </c>
      <c r="O84" s="20">
        <v>953807</v>
      </c>
      <c r="P84" s="21">
        <f t="shared" si="2"/>
        <v>2010</v>
      </c>
    </row>
    <row r="85" ht="15.75" customHeight="1" spans="1:16">
      <c r="A85" s="18" t="s">
        <v>45</v>
      </c>
      <c r="B85" s="18" t="s">
        <v>56</v>
      </c>
      <c r="C85" s="18" t="s">
        <v>65</v>
      </c>
      <c r="D85" s="18" t="s">
        <v>55</v>
      </c>
      <c r="E85" s="18" t="s">
        <v>19</v>
      </c>
      <c r="F85" s="18" t="s">
        <v>25</v>
      </c>
      <c r="G85" s="19">
        <v>42359</v>
      </c>
      <c r="H85" s="18">
        <v>731675779</v>
      </c>
      <c r="I85" s="19">
        <v>42392</v>
      </c>
      <c r="J85" s="18">
        <v>537</v>
      </c>
      <c r="K85" s="20">
        <v>152.58</v>
      </c>
      <c r="L85" s="20">
        <v>97.44</v>
      </c>
      <c r="M85" s="20">
        <v>81935.46</v>
      </c>
      <c r="N85" s="20">
        <v>52325.28</v>
      </c>
      <c r="O85" s="20">
        <v>29610.18</v>
      </c>
      <c r="P85" s="21">
        <f t="shared" si="2"/>
        <v>2015</v>
      </c>
    </row>
    <row r="86" ht="15.75" customHeight="1" spans="1:16">
      <c r="A86" s="18" t="s">
        <v>62</v>
      </c>
      <c r="B86" s="18" t="s">
        <v>74</v>
      </c>
      <c r="C86" s="18" t="s">
        <v>28</v>
      </c>
      <c r="D86" s="18" t="s">
        <v>64</v>
      </c>
      <c r="E86" s="18" t="s">
        <v>24</v>
      </c>
      <c r="F86" s="18" t="s">
        <v>25</v>
      </c>
      <c r="G86" s="19">
        <v>42772</v>
      </c>
      <c r="H86" s="18">
        <v>518387393</v>
      </c>
      <c r="I86" s="19">
        <v>42782</v>
      </c>
      <c r="J86" s="18">
        <v>4700</v>
      </c>
      <c r="K86" s="20">
        <v>437.2</v>
      </c>
      <c r="L86" s="20">
        <v>263.33</v>
      </c>
      <c r="M86" s="20">
        <v>2054840</v>
      </c>
      <c r="N86" s="20">
        <v>1237651</v>
      </c>
      <c r="O86" s="20">
        <v>817189</v>
      </c>
      <c r="P86" s="21">
        <f t="shared" si="2"/>
        <v>2017</v>
      </c>
    </row>
    <row r="87" ht="15.75" customHeight="1" spans="1:16">
      <c r="A87" s="18" t="s">
        <v>41</v>
      </c>
      <c r="B87" s="18" t="s">
        <v>42</v>
      </c>
      <c r="C87" s="18" t="s">
        <v>48</v>
      </c>
      <c r="D87" s="18" t="s">
        <v>39</v>
      </c>
      <c r="E87" s="18" t="s">
        <v>19</v>
      </c>
      <c r="F87" s="18" t="s">
        <v>40</v>
      </c>
      <c r="G87" s="19">
        <v>43074</v>
      </c>
      <c r="H87" s="18">
        <v>745535690</v>
      </c>
      <c r="I87" s="19">
        <v>43109</v>
      </c>
      <c r="J87" s="18">
        <v>6431</v>
      </c>
      <c r="K87" s="20">
        <v>255.28</v>
      </c>
      <c r="L87" s="20">
        <v>159.42</v>
      </c>
      <c r="M87" s="20">
        <v>1641705.68</v>
      </c>
      <c r="N87" s="20">
        <v>1025230.02</v>
      </c>
      <c r="O87" s="20">
        <v>616475.66</v>
      </c>
      <c r="P87" s="21">
        <f t="shared" si="2"/>
        <v>2017</v>
      </c>
    </row>
    <row r="88" ht="15.75" customHeight="1" spans="1:16">
      <c r="A88" s="18" t="s">
        <v>45</v>
      </c>
      <c r="B88" s="18" t="s">
        <v>46</v>
      </c>
      <c r="C88" s="18" t="s">
        <v>17</v>
      </c>
      <c r="D88" s="18" t="s">
        <v>23</v>
      </c>
      <c r="E88" s="18" t="s">
        <v>24</v>
      </c>
      <c r="F88" s="18" t="s">
        <v>40</v>
      </c>
      <c r="G88" s="19">
        <v>40845</v>
      </c>
      <c r="H88" s="18">
        <v>840108209</v>
      </c>
      <c r="I88" s="19">
        <v>40878</v>
      </c>
      <c r="J88" s="18">
        <v>7177</v>
      </c>
      <c r="K88" s="20">
        <v>668.27</v>
      </c>
      <c r="L88" s="20">
        <v>502.54</v>
      </c>
      <c r="M88" s="20">
        <v>4796173.79</v>
      </c>
      <c r="N88" s="20">
        <v>3606729.58</v>
      </c>
      <c r="O88" s="20">
        <v>1189444.21</v>
      </c>
      <c r="P88" s="21">
        <f t="shared" si="2"/>
        <v>2011</v>
      </c>
    </row>
    <row r="89" ht="15.75" customHeight="1" spans="1:16">
      <c r="A89" s="18" t="s">
        <v>30</v>
      </c>
      <c r="B89" s="18" t="s">
        <v>31</v>
      </c>
      <c r="C89" s="18" t="s">
        <v>57</v>
      </c>
      <c r="D89" s="18" t="s">
        <v>52</v>
      </c>
      <c r="E89" s="18" t="s">
        <v>24</v>
      </c>
      <c r="F89" s="18" t="s">
        <v>36</v>
      </c>
      <c r="G89" s="19">
        <v>40860</v>
      </c>
      <c r="H89" s="18">
        <v>480974484</v>
      </c>
      <c r="I89" s="19">
        <v>40886</v>
      </c>
      <c r="J89" s="18">
        <v>7381</v>
      </c>
      <c r="K89" s="20">
        <v>9.33</v>
      </c>
      <c r="L89" s="20">
        <v>6.92</v>
      </c>
      <c r="M89" s="20">
        <v>68864.73</v>
      </c>
      <c r="N89" s="20">
        <v>51076.52</v>
      </c>
      <c r="O89" s="20">
        <v>17788.21</v>
      </c>
      <c r="P89" s="21">
        <f t="shared" si="2"/>
        <v>2011</v>
      </c>
    </row>
    <row r="90" ht="15.75" customHeight="1" spans="1:16">
      <c r="A90" s="18" t="s">
        <v>62</v>
      </c>
      <c r="B90" s="18" t="s">
        <v>63</v>
      </c>
      <c r="C90" s="18" t="s">
        <v>34</v>
      </c>
      <c r="D90" s="18" t="s">
        <v>29</v>
      </c>
      <c r="E90" s="18" t="s">
        <v>24</v>
      </c>
      <c r="F90" s="18" t="s">
        <v>20</v>
      </c>
      <c r="G90" s="19">
        <v>42772</v>
      </c>
      <c r="H90" s="18">
        <v>444024793</v>
      </c>
      <c r="I90" s="19">
        <v>42790</v>
      </c>
      <c r="J90" s="18">
        <v>7640</v>
      </c>
      <c r="K90" s="20">
        <v>651.21</v>
      </c>
      <c r="L90" s="20">
        <v>524.96</v>
      </c>
      <c r="M90" s="20">
        <v>4975244.4</v>
      </c>
      <c r="N90" s="20">
        <v>4010694.4</v>
      </c>
      <c r="O90" s="20">
        <v>964550</v>
      </c>
      <c r="P90" s="21">
        <f t="shared" si="2"/>
        <v>2017</v>
      </c>
    </row>
    <row r="91" ht="15.75" customHeight="1" spans="1:16">
      <c r="A91" s="18" t="s">
        <v>26</v>
      </c>
      <c r="B91" s="18" t="s">
        <v>27</v>
      </c>
      <c r="C91" s="18" t="s">
        <v>34</v>
      </c>
      <c r="D91" s="18" t="s">
        <v>76</v>
      </c>
      <c r="E91" s="18" t="s">
        <v>19</v>
      </c>
      <c r="F91" s="18" t="s">
        <v>36</v>
      </c>
      <c r="G91" s="19">
        <v>42576</v>
      </c>
      <c r="H91" s="18">
        <v>215438617</v>
      </c>
      <c r="I91" s="19">
        <v>42597</v>
      </c>
      <c r="J91" s="18">
        <v>1676</v>
      </c>
      <c r="K91" s="20">
        <v>651.21</v>
      </c>
      <c r="L91" s="20">
        <v>524.96</v>
      </c>
      <c r="M91" s="20">
        <v>1091427.96</v>
      </c>
      <c r="N91" s="20">
        <v>879832.96</v>
      </c>
      <c r="O91" s="20">
        <v>211595</v>
      </c>
      <c r="P91" s="21">
        <f t="shared" si="2"/>
        <v>2016</v>
      </c>
    </row>
    <row r="92" ht="15.75" customHeight="1" spans="1:16">
      <c r="A92" s="18" t="s">
        <v>45</v>
      </c>
      <c r="B92" s="18" t="s">
        <v>56</v>
      </c>
      <c r="C92" s="18" t="s">
        <v>32</v>
      </c>
      <c r="D92" s="18" t="s">
        <v>78</v>
      </c>
      <c r="E92" s="18" t="s">
        <v>24</v>
      </c>
      <c r="F92" s="18" t="s">
        <v>20</v>
      </c>
      <c r="G92" s="19">
        <v>40543</v>
      </c>
      <c r="H92" s="18">
        <v>257553165</v>
      </c>
      <c r="I92" s="19">
        <v>40573</v>
      </c>
      <c r="J92" s="18">
        <v>5526</v>
      </c>
      <c r="K92" s="20">
        <v>47.45</v>
      </c>
      <c r="L92" s="20">
        <v>31.79</v>
      </c>
      <c r="M92" s="20">
        <v>262208.7</v>
      </c>
      <c r="N92" s="20">
        <v>175671.54</v>
      </c>
      <c r="O92" s="20">
        <v>86537.16</v>
      </c>
      <c r="P92" s="21">
        <f t="shared" si="2"/>
        <v>2010</v>
      </c>
    </row>
    <row r="93" ht="15.75" customHeight="1" spans="1:16">
      <c r="A93" s="18" t="s">
        <v>30</v>
      </c>
      <c r="B93" s="18" t="s">
        <v>31</v>
      </c>
      <c r="C93" s="18" t="s">
        <v>65</v>
      </c>
      <c r="D93" s="18" t="s">
        <v>78</v>
      </c>
      <c r="E93" s="18" t="s">
        <v>19</v>
      </c>
      <c r="F93" s="18" t="s">
        <v>40</v>
      </c>
      <c r="G93" s="19">
        <v>41710</v>
      </c>
      <c r="H93" s="18">
        <v>947879673</v>
      </c>
      <c r="I93" s="19">
        <v>41732</v>
      </c>
      <c r="J93" s="18">
        <v>7349</v>
      </c>
      <c r="K93" s="20">
        <v>152.58</v>
      </c>
      <c r="L93" s="20">
        <v>97.44</v>
      </c>
      <c r="M93" s="20">
        <v>1121310.42</v>
      </c>
      <c r="N93" s="20">
        <v>716086.56</v>
      </c>
      <c r="O93" s="20">
        <v>405223.86</v>
      </c>
      <c r="P93" s="21">
        <f t="shared" si="2"/>
        <v>2014</v>
      </c>
    </row>
    <row r="94" ht="15.75" customHeight="1" spans="1:16">
      <c r="A94" s="18" t="s">
        <v>30</v>
      </c>
      <c r="B94" s="18" t="s">
        <v>31</v>
      </c>
      <c r="C94" s="18" t="s">
        <v>34</v>
      </c>
      <c r="D94" s="18" t="s">
        <v>52</v>
      </c>
      <c r="E94" s="18" t="s">
        <v>24</v>
      </c>
      <c r="F94" s="18" t="s">
        <v>20</v>
      </c>
      <c r="G94" s="19">
        <v>41241</v>
      </c>
      <c r="H94" s="18">
        <v>483129685</v>
      </c>
      <c r="I94" s="19">
        <v>41262</v>
      </c>
      <c r="J94" s="18">
        <v>8041</v>
      </c>
      <c r="K94" s="20">
        <v>651.21</v>
      </c>
      <c r="L94" s="20">
        <v>524.96</v>
      </c>
      <c r="M94" s="20">
        <v>5236379.61</v>
      </c>
      <c r="N94" s="20">
        <v>4221203.36</v>
      </c>
      <c r="O94" s="20">
        <v>1015176.25</v>
      </c>
      <c r="P94" s="21">
        <f t="shared" si="2"/>
        <v>2012</v>
      </c>
    </row>
    <row r="95" ht="15.75" customHeight="1" spans="1:16">
      <c r="A95" s="18" t="s">
        <v>41</v>
      </c>
      <c r="B95" s="18" t="s">
        <v>71</v>
      </c>
      <c r="C95" s="18" t="s">
        <v>34</v>
      </c>
      <c r="D95" s="18" t="s">
        <v>49</v>
      </c>
      <c r="E95" s="18" t="s">
        <v>19</v>
      </c>
      <c r="F95" s="18" t="s">
        <v>36</v>
      </c>
      <c r="G95" s="19">
        <v>42251</v>
      </c>
      <c r="H95" s="18">
        <v>551419529</v>
      </c>
      <c r="I95" s="19">
        <v>42259</v>
      </c>
      <c r="J95" s="18">
        <v>8658</v>
      </c>
      <c r="K95" s="20">
        <v>651.21</v>
      </c>
      <c r="L95" s="20">
        <v>524.96</v>
      </c>
      <c r="M95" s="20">
        <v>5638176.18</v>
      </c>
      <c r="N95" s="20">
        <v>4545103.68</v>
      </c>
      <c r="O95" s="20">
        <v>1093072.5</v>
      </c>
      <c r="P95" s="21">
        <f t="shared" si="2"/>
        <v>2015</v>
      </c>
    </row>
    <row r="96" ht="15.75" customHeight="1" spans="1:16">
      <c r="A96" s="18" t="s">
        <v>62</v>
      </c>
      <c r="B96" s="18" t="s">
        <v>63</v>
      </c>
      <c r="C96" s="18" t="s">
        <v>44</v>
      </c>
      <c r="D96" s="18" t="s">
        <v>39</v>
      </c>
      <c r="E96" s="18" t="s">
        <v>24</v>
      </c>
      <c r="F96" s="18" t="s">
        <v>40</v>
      </c>
      <c r="G96" s="19">
        <v>41672</v>
      </c>
      <c r="H96" s="18">
        <v>348001134</v>
      </c>
      <c r="I96" s="19">
        <v>41710</v>
      </c>
      <c r="J96" s="18">
        <v>8343</v>
      </c>
      <c r="K96" s="20">
        <v>154.06</v>
      </c>
      <c r="L96" s="20">
        <v>90.93</v>
      </c>
      <c r="M96" s="20">
        <v>1285322.58</v>
      </c>
      <c r="N96" s="20">
        <v>758628.99</v>
      </c>
      <c r="O96" s="20">
        <v>526693.59</v>
      </c>
      <c r="P96" s="21">
        <f t="shared" si="2"/>
        <v>2014</v>
      </c>
    </row>
    <row r="97" ht="15.75" customHeight="1" spans="1:16">
      <c r="A97" s="18" t="s">
        <v>62</v>
      </c>
      <c r="B97" s="18" t="s">
        <v>67</v>
      </c>
      <c r="C97" s="18" t="s">
        <v>32</v>
      </c>
      <c r="D97" s="18" t="s">
        <v>51</v>
      </c>
      <c r="E97" s="18" t="s">
        <v>19</v>
      </c>
      <c r="F97" s="18" t="s">
        <v>20</v>
      </c>
      <c r="G97" s="19">
        <v>42918</v>
      </c>
      <c r="H97" s="18">
        <v>561946175</v>
      </c>
      <c r="I97" s="19">
        <v>42948</v>
      </c>
      <c r="J97" s="18">
        <v>2161</v>
      </c>
      <c r="K97" s="20">
        <v>47.45</v>
      </c>
      <c r="L97" s="20">
        <v>31.79</v>
      </c>
      <c r="M97" s="20">
        <v>102539.45</v>
      </c>
      <c r="N97" s="20">
        <v>68698.19</v>
      </c>
      <c r="O97" s="20">
        <v>33841.26</v>
      </c>
      <c r="P97" s="21">
        <f t="shared" si="2"/>
        <v>2017</v>
      </c>
    </row>
    <row r="98" ht="15.75" customHeight="1" spans="1:16">
      <c r="A98" s="18" t="s">
        <v>30</v>
      </c>
      <c r="B98" s="18" t="s">
        <v>31</v>
      </c>
      <c r="C98" s="18" t="s">
        <v>68</v>
      </c>
      <c r="D98" s="18" t="s">
        <v>52</v>
      </c>
      <c r="E98" s="18" t="s">
        <v>19</v>
      </c>
      <c r="F98" s="18" t="s">
        <v>25</v>
      </c>
      <c r="G98" s="19">
        <v>41639</v>
      </c>
      <c r="H98" s="18">
        <v>756524997</v>
      </c>
      <c r="I98" s="19">
        <v>41665</v>
      </c>
      <c r="J98" s="18">
        <v>2005</v>
      </c>
      <c r="K98" s="20">
        <v>109.28</v>
      </c>
      <c r="L98" s="20">
        <v>35.84</v>
      </c>
      <c r="M98" s="20">
        <v>219106.4</v>
      </c>
      <c r="N98" s="20">
        <v>71859.2</v>
      </c>
      <c r="O98" s="20">
        <v>147247.2</v>
      </c>
      <c r="P98" s="21">
        <f t="shared" si="2"/>
        <v>2013</v>
      </c>
    </row>
    <row r="99" ht="15.75" customHeight="1" spans="1:16">
      <c r="A99" s="18" t="s">
        <v>15</v>
      </c>
      <c r="B99" s="18" t="s">
        <v>69</v>
      </c>
      <c r="C99" s="18" t="s">
        <v>17</v>
      </c>
      <c r="D99" s="18" t="s">
        <v>51</v>
      </c>
      <c r="E99" s="18" t="s">
        <v>19</v>
      </c>
      <c r="F99" s="18" t="s">
        <v>40</v>
      </c>
      <c r="G99" s="19">
        <v>40421</v>
      </c>
      <c r="H99" s="18">
        <v>788899111</v>
      </c>
      <c r="I99" s="19">
        <v>40456</v>
      </c>
      <c r="J99" s="18">
        <v>4724</v>
      </c>
      <c r="K99" s="20">
        <v>668.27</v>
      </c>
      <c r="L99" s="20">
        <v>502.54</v>
      </c>
      <c r="M99" s="20">
        <v>3156907.48</v>
      </c>
      <c r="N99" s="20">
        <v>2373998.96</v>
      </c>
      <c r="O99" s="20">
        <v>782908.52</v>
      </c>
      <c r="P99" s="21">
        <f t="shared" ref="P99:P130" si="3">YEAR(G99)</f>
        <v>2010</v>
      </c>
    </row>
    <row r="100" ht="15.75" customHeight="1" spans="1:16">
      <c r="A100" s="18" t="s">
        <v>45</v>
      </c>
      <c r="B100" s="18" t="s">
        <v>56</v>
      </c>
      <c r="C100" s="18" t="s">
        <v>44</v>
      </c>
      <c r="D100" s="18" t="s">
        <v>64</v>
      </c>
      <c r="E100" s="18" t="s">
        <v>24</v>
      </c>
      <c r="F100" s="18" t="s">
        <v>40</v>
      </c>
      <c r="G100" s="19">
        <v>40182</v>
      </c>
      <c r="H100" s="18">
        <v>388072325</v>
      </c>
      <c r="I100" s="19">
        <v>40201</v>
      </c>
      <c r="J100" s="18">
        <v>517</v>
      </c>
      <c r="K100" s="20">
        <v>154.06</v>
      </c>
      <c r="L100" s="20">
        <v>90.93</v>
      </c>
      <c r="M100" s="20">
        <v>79649.02</v>
      </c>
      <c r="N100" s="20">
        <v>47010.81</v>
      </c>
      <c r="O100" s="20">
        <v>32638.21</v>
      </c>
      <c r="P100" s="21">
        <f t="shared" si="3"/>
        <v>2010</v>
      </c>
    </row>
    <row r="101" ht="15.75" customHeight="1" spans="1:16">
      <c r="A101" s="18" t="s">
        <v>62</v>
      </c>
      <c r="B101" s="18" t="s">
        <v>74</v>
      </c>
      <c r="C101" s="18" t="s">
        <v>17</v>
      </c>
      <c r="D101" s="18" t="s">
        <v>66</v>
      </c>
      <c r="E101" s="18" t="s">
        <v>19</v>
      </c>
      <c r="F101" s="18" t="s">
        <v>20</v>
      </c>
      <c r="G101" s="19">
        <v>41643</v>
      </c>
      <c r="H101" s="18">
        <v>343794766</v>
      </c>
      <c r="I101" s="19">
        <v>41649</v>
      </c>
      <c r="J101" s="18">
        <v>6716</v>
      </c>
      <c r="K101" s="20">
        <v>668.27</v>
      </c>
      <c r="L101" s="20">
        <v>502.54</v>
      </c>
      <c r="M101" s="20">
        <v>4488101.32</v>
      </c>
      <c r="N101" s="20">
        <v>3375058.64</v>
      </c>
      <c r="O101" s="20">
        <v>1113042.68</v>
      </c>
      <c r="P101" s="21">
        <f t="shared" si="3"/>
        <v>2014</v>
      </c>
    </row>
    <row r="102" ht="15.75" customHeight="1" spans="1:16">
      <c r="A102" s="18" t="s">
        <v>45</v>
      </c>
      <c r="B102" s="18" t="s">
        <v>60</v>
      </c>
      <c r="C102" s="18" t="s">
        <v>68</v>
      </c>
      <c r="D102" s="18" t="s">
        <v>76</v>
      </c>
      <c r="E102" s="18" t="s">
        <v>24</v>
      </c>
      <c r="F102" s="18" t="s">
        <v>40</v>
      </c>
      <c r="G102" s="19">
        <v>40902</v>
      </c>
      <c r="H102" s="18">
        <v>228161931</v>
      </c>
      <c r="I102" s="19">
        <v>40939</v>
      </c>
      <c r="J102" s="18">
        <v>2448</v>
      </c>
      <c r="K102" s="20">
        <v>109.28</v>
      </c>
      <c r="L102" s="20">
        <v>35.84</v>
      </c>
      <c r="M102" s="20">
        <v>267517.44</v>
      </c>
      <c r="N102" s="20">
        <v>87736.32</v>
      </c>
      <c r="O102" s="20">
        <v>179781.12</v>
      </c>
      <c r="P102" s="21">
        <f t="shared" si="3"/>
        <v>2011</v>
      </c>
    </row>
    <row r="103" ht="15.75" customHeight="1" spans="1:16">
      <c r="A103" s="18" t="s">
        <v>26</v>
      </c>
      <c r="B103" s="18" t="s">
        <v>82</v>
      </c>
      <c r="C103" s="18" t="s">
        <v>68</v>
      </c>
      <c r="D103" s="18" t="s">
        <v>52</v>
      </c>
      <c r="E103" s="18" t="s">
        <v>24</v>
      </c>
      <c r="F103" s="18" t="s">
        <v>40</v>
      </c>
      <c r="G103" s="19">
        <v>43071</v>
      </c>
      <c r="H103" s="18">
        <v>322580384</v>
      </c>
      <c r="I103" s="19">
        <v>43078</v>
      </c>
      <c r="J103" s="18">
        <v>9493</v>
      </c>
      <c r="K103" s="20">
        <v>109.28</v>
      </c>
      <c r="L103" s="20">
        <v>35.84</v>
      </c>
      <c r="M103" s="20">
        <v>1037395.04</v>
      </c>
      <c r="N103" s="20">
        <v>340229.12</v>
      </c>
      <c r="O103" s="20">
        <v>697165.92</v>
      </c>
      <c r="P103" s="21">
        <f t="shared" si="3"/>
        <v>2017</v>
      </c>
    </row>
    <row r="104" ht="15.75" customHeight="1" spans="1:16">
      <c r="A104" s="18" t="s">
        <v>26</v>
      </c>
      <c r="B104" s="18" t="s">
        <v>82</v>
      </c>
      <c r="C104" s="18" t="s">
        <v>57</v>
      </c>
      <c r="D104" s="18" t="s">
        <v>55</v>
      </c>
      <c r="E104" s="18" t="s">
        <v>24</v>
      </c>
      <c r="F104" s="18" t="s">
        <v>20</v>
      </c>
      <c r="G104" s="19">
        <v>42239</v>
      </c>
      <c r="H104" s="18">
        <v>357158785</v>
      </c>
      <c r="I104" s="19">
        <v>42283</v>
      </c>
      <c r="J104" s="18">
        <v>2019</v>
      </c>
      <c r="K104" s="20">
        <v>9.33</v>
      </c>
      <c r="L104" s="20">
        <v>6.92</v>
      </c>
      <c r="M104" s="20">
        <v>18837.27</v>
      </c>
      <c r="N104" s="20">
        <v>13971.48</v>
      </c>
      <c r="O104" s="20">
        <v>4865.79</v>
      </c>
      <c r="P104" s="21">
        <f t="shared" si="3"/>
        <v>2015</v>
      </c>
    </row>
    <row r="105" ht="15.75" customHeight="1" spans="1:16">
      <c r="A105" s="18" t="s">
        <v>62</v>
      </c>
      <c r="B105" s="18" t="s">
        <v>67</v>
      </c>
      <c r="C105" s="18" t="s">
        <v>57</v>
      </c>
      <c r="D105" s="18" t="s">
        <v>51</v>
      </c>
      <c r="E105" s="18" t="s">
        <v>19</v>
      </c>
      <c r="F105" s="18" t="s">
        <v>25</v>
      </c>
      <c r="G105" s="19">
        <v>42173</v>
      </c>
      <c r="H105" s="18">
        <v>555704101</v>
      </c>
      <c r="I105" s="19">
        <v>42192</v>
      </c>
      <c r="J105" s="18">
        <v>3890</v>
      </c>
      <c r="K105" s="20">
        <v>9.33</v>
      </c>
      <c r="L105" s="20">
        <v>6.92</v>
      </c>
      <c r="M105" s="20">
        <v>36293.7</v>
      </c>
      <c r="N105" s="20">
        <v>26918.8</v>
      </c>
      <c r="O105" s="20">
        <v>9374.9</v>
      </c>
      <c r="P105" s="21">
        <f t="shared" si="3"/>
        <v>2015</v>
      </c>
    </row>
    <row r="106" ht="15.75" customHeight="1" spans="1:16">
      <c r="A106" s="18" t="s">
        <v>41</v>
      </c>
      <c r="B106" s="18" t="s">
        <v>42</v>
      </c>
      <c r="C106" s="18" t="s">
        <v>28</v>
      </c>
      <c r="D106" s="18" t="s">
        <v>52</v>
      </c>
      <c r="E106" s="18" t="s">
        <v>24</v>
      </c>
      <c r="F106" s="18" t="s">
        <v>36</v>
      </c>
      <c r="G106" s="19">
        <v>40414</v>
      </c>
      <c r="H106" s="18">
        <v>885713012</v>
      </c>
      <c r="I106" s="19">
        <v>40432</v>
      </c>
      <c r="J106" s="18">
        <v>8967</v>
      </c>
      <c r="K106" s="20">
        <v>437.2</v>
      </c>
      <c r="L106" s="20">
        <v>263.33</v>
      </c>
      <c r="M106" s="20">
        <v>3920372.4</v>
      </c>
      <c r="N106" s="20">
        <v>2361280.11</v>
      </c>
      <c r="O106" s="20">
        <v>1559092.29</v>
      </c>
      <c r="P106" s="21">
        <f t="shared" si="3"/>
        <v>2010</v>
      </c>
    </row>
    <row r="107" ht="15.75" customHeight="1" spans="1:16">
      <c r="A107" s="18" t="s">
        <v>30</v>
      </c>
      <c r="B107" s="18" t="s">
        <v>53</v>
      </c>
      <c r="C107" s="18" t="s">
        <v>44</v>
      </c>
      <c r="D107" s="18" t="s">
        <v>29</v>
      </c>
      <c r="E107" s="18" t="s">
        <v>19</v>
      </c>
      <c r="F107" s="18" t="s">
        <v>40</v>
      </c>
      <c r="G107" s="19">
        <v>42739</v>
      </c>
      <c r="H107" s="18">
        <v>419859605</v>
      </c>
      <c r="I107" s="19">
        <v>42783</v>
      </c>
      <c r="J107" s="18">
        <v>6351</v>
      </c>
      <c r="K107" s="20">
        <v>154.06</v>
      </c>
      <c r="L107" s="20">
        <v>90.93</v>
      </c>
      <c r="M107" s="20">
        <v>978435.06</v>
      </c>
      <c r="N107" s="20">
        <v>577496.43</v>
      </c>
      <c r="O107" s="20">
        <v>400938.63</v>
      </c>
      <c r="P107" s="21">
        <f t="shared" si="3"/>
        <v>2017</v>
      </c>
    </row>
    <row r="108" ht="15.75" customHeight="1" spans="1:16">
      <c r="A108" s="18" t="s">
        <v>21</v>
      </c>
      <c r="B108" s="18" t="s">
        <v>70</v>
      </c>
      <c r="C108" s="18" t="s">
        <v>34</v>
      </c>
      <c r="D108" s="18" t="s">
        <v>52</v>
      </c>
      <c r="E108" s="18" t="s">
        <v>24</v>
      </c>
      <c r="F108" s="18" t="s">
        <v>36</v>
      </c>
      <c r="G108" s="19">
        <v>43024</v>
      </c>
      <c r="H108" s="18">
        <v>805516244</v>
      </c>
      <c r="I108" s="19">
        <v>43063</v>
      </c>
      <c r="J108" s="18">
        <v>3298</v>
      </c>
      <c r="K108" s="20">
        <v>651.21</v>
      </c>
      <c r="L108" s="20">
        <v>524.96</v>
      </c>
      <c r="M108" s="20">
        <v>2147690.58</v>
      </c>
      <c r="N108" s="20">
        <v>1731318.08</v>
      </c>
      <c r="O108" s="20">
        <v>416372.5</v>
      </c>
      <c r="P108" s="21">
        <f t="shared" si="3"/>
        <v>2017</v>
      </c>
    </row>
    <row r="109" ht="15.75" customHeight="1" spans="1:16">
      <c r="A109" s="18" t="s">
        <v>30</v>
      </c>
      <c r="B109" s="18" t="s">
        <v>72</v>
      </c>
      <c r="C109" s="18" t="s">
        <v>32</v>
      </c>
      <c r="D109" s="18" t="s">
        <v>81</v>
      </c>
      <c r="E109" s="18" t="s">
        <v>19</v>
      </c>
      <c r="F109" s="18" t="s">
        <v>25</v>
      </c>
      <c r="G109" s="19">
        <v>41244</v>
      </c>
      <c r="H109" s="18">
        <v>885901969</v>
      </c>
      <c r="I109" s="19">
        <v>41273</v>
      </c>
      <c r="J109" s="18">
        <v>9910</v>
      </c>
      <c r="K109" s="20">
        <v>47.45</v>
      </c>
      <c r="L109" s="20">
        <v>31.79</v>
      </c>
      <c r="M109" s="20">
        <v>470229.5</v>
      </c>
      <c r="N109" s="20">
        <v>315038.9</v>
      </c>
      <c r="O109" s="20">
        <v>155190.6</v>
      </c>
      <c r="P109" s="21">
        <f t="shared" si="3"/>
        <v>2012</v>
      </c>
    </row>
    <row r="110" ht="15.75" customHeight="1" spans="1:16">
      <c r="A110" s="18" t="s">
        <v>41</v>
      </c>
      <c r="B110" s="18" t="s">
        <v>71</v>
      </c>
      <c r="C110" s="18" t="s">
        <v>48</v>
      </c>
      <c r="D110" s="18" t="s">
        <v>66</v>
      </c>
      <c r="E110" s="18" t="s">
        <v>19</v>
      </c>
      <c r="F110" s="18" t="s">
        <v>40</v>
      </c>
      <c r="G110" s="19">
        <v>40753</v>
      </c>
      <c r="H110" s="18">
        <v>432800992</v>
      </c>
      <c r="I110" s="19">
        <v>40772</v>
      </c>
      <c r="J110" s="18">
        <v>3112</v>
      </c>
      <c r="K110" s="20">
        <v>255.28</v>
      </c>
      <c r="L110" s="20">
        <v>159.42</v>
      </c>
      <c r="M110" s="20">
        <v>794431.36</v>
      </c>
      <c r="N110" s="20">
        <v>496115.04</v>
      </c>
      <c r="O110" s="20">
        <v>298316.32</v>
      </c>
      <c r="P110" s="21">
        <f t="shared" si="3"/>
        <v>2011</v>
      </c>
    </row>
    <row r="111" ht="15.75" customHeight="1" spans="1:16">
      <c r="A111" s="18" t="s">
        <v>62</v>
      </c>
      <c r="B111" s="18" t="s">
        <v>63</v>
      </c>
      <c r="C111" s="18" t="s">
        <v>65</v>
      </c>
      <c r="D111" s="18" t="s">
        <v>75</v>
      </c>
      <c r="E111" s="18" t="s">
        <v>24</v>
      </c>
      <c r="F111" s="18" t="s">
        <v>25</v>
      </c>
      <c r="G111" s="19">
        <v>42330</v>
      </c>
      <c r="H111" s="18">
        <v>602073266</v>
      </c>
      <c r="I111" s="19">
        <v>42373</v>
      </c>
      <c r="J111" s="18">
        <v>8789</v>
      </c>
      <c r="K111" s="20">
        <v>152.58</v>
      </c>
      <c r="L111" s="20">
        <v>97.44</v>
      </c>
      <c r="M111" s="20">
        <v>1341025.62</v>
      </c>
      <c r="N111" s="20">
        <v>856400.16</v>
      </c>
      <c r="O111" s="20">
        <v>484625.46</v>
      </c>
      <c r="P111" s="21">
        <f t="shared" si="3"/>
        <v>2015</v>
      </c>
    </row>
    <row r="112" ht="15.75" customHeight="1" spans="1:16">
      <c r="A112" s="18" t="s">
        <v>41</v>
      </c>
      <c r="B112" s="18" t="s">
        <v>42</v>
      </c>
      <c r="C112" s="18" t="s">
        <v>65</v>
      </c>
      <c r="D112" s="18" t="s">
        <v>79</v>
      </c>
      <c r="E112" s="18" t="s">
        <v>24</v>
      </c>
      <c r="F112" s="18" t="s">
        <v>20</v>
      </c>
      <c r="G112" s="19">
        <v>41650</v>
      </c>
      <c r="H112" s="18">
        <v>652457838</v>
      </c>
      <c r="I112" s="19">
        <v>41669</v>
      </c>
      <c r="J112" s="18">
        <v>6188</v>
      </c>
      <c r="K112" s="20">
        <v>152.58</v>
      </c>
      <c r="L112" s="20">
        <v>97.44</v>
      </c>
      <c r="M112" s="20">
        <v>944165.04</v>
      </c>
      <c r="N112" s="20">
        <v>602958.72</v>
      </c>
      <c r="O112" s="20">
        <v>341206.32</v>
      </c>
      <c r="P112" s="21">
        <f t="shared" si="3"/>
        <v>2014</v>
      </c>
    </row>
    <row r="113" ht="15.75" customHeight="1" spans="1:16">
      <c r="A113" s="18" t="s">
        <v>62</v>
      </c>
      <c r="B113" s="18" t="s">
        <v>74</v>
      </c>
      <c r="C113" s="18" t="s">
        <v>65</v>
      </c>
      <c r="D113" s="18" t="s">
        <v>81</v>
      </c>
      <c r="E113" s="18" t="s">
        <v>19</v>
      </c>
      <c r="F113" s="18" t="s">
        <v>20</v>
      </c>
      <c r="G113" s="19">
        <v>41299</v>
      </c>
      <c r="H113" s="18">
        <v>222715546</v>
      </c>
      <c r="I113" s="19">
        <v>41340</v>
      </c>
      <c r="J113" s="18">
        <v>1350</v>
      </c>
      <c r="K113" s="20">
        <v>152.58</v>
      </c>
      <c r="L113" s="20">
        <v>97.44</v>
      </c>
      <c r="M113" s="20">
        <v>205983</v>
      </c>
      <c r="N113" s="20">
        <v>131544</v>
      </c>
      <c r="O113" s="20">
        <v>74439</v>
      </c>
      <c r="P113" s="21">
        <f t="shared" si="3"/>
        <v>2013</v>
      </c>
    </row>
    <row r="114" ht="15.75" customHeight="1" spans="1:16">
      <c r="A114" s="18" t="s">
        <v>62</v>
      </c>
      <c r="B114" s="18" t="s">
        <v>74</v>
      </c>
      <c r="C114" s="18" t="s">
        <v>38</v>
      </c>
      <c r="D114" s="18" t="s">
        <v>76</v>
      </c>
      <c r="E114" s="18" t="s">
        <v>24</v>
      </c>
      <c r="F114" s="18" t="s">
        <v>20</v>
      </c>
      <c r="G114" s="19">
        <v>40695</v>
      </c>
      <c r="H114" s="18">
        <v>495488096</v>
      </c>
      <c r="I114" s="19">
        <v>40709</v>
      </c>
      <c r="J114" s="18">
        <v>6428</v>
      </c>
      <c r="K114" s="20">
        <v>205.7</v>
      </c>
      <c r="L114" s="20">
        <v>117.11</v>
      </c>
      <c r="M114" s="20">
        <v>1322239.6</v>
      </c>
      <c r="N114" s="20">
        <v>752783.08</v>
      </c>
      <c r="O114" s="20">
        <v>569456.52</v>
      </c>
      <c r="P114" s="21">
        <f t="shared" si="3"/>
        <v>2011</v>
      </c>
    </row>
    <row r="115" ht="15.75" customHeight="1" spans="1:16">
      <c r="A115" s="18" t="s">
        <v>15</v>
      </c>
      <c r="B115" s="18" t="s">
        <v>47</v>
      </c>
      <c r="C115" s="18" t="s">
        <v>38</v>
      </c>
      <c r="D115" s="18" t="s">
        <v>59</v>
      </c>
      <c r="E115" s="18" t="s">
        <v>24</v>
      </c>
      <c r="F115" s="18" t="s">
        <v>36</v>
      </c>
      <c r="G115" s="19">
        <v>42241</v>
      </c>
      <c r="H115" s="18">
        <v>271200135</v>
      </c>
      <c r="I115" s="19">
        <v>42274</v>
      </c>
      <c r="J115" s="18">
        <v>2771</v>
      </c>
      <c r="K115" s="20">
        <v>205.7</v>
      </c>
      <c r="L115" s="20">
        <v>117.11</v>
      </c>
      <c r="M115" s="20">
        <v>569994.7</v>
      </c>
      <c r="N115" s="20">
        <v>324511.81</v>
      </c>
      <c r="O115" s="20">
        <v>245482.89</v>
      </c>
      <c r="P115" s="21">
        <f t="shared" si="3"/>
        <v>2015</v>
      </c>
    </row>
    <row r="116" ht="15.75" customHeight="1" spans="1:16">
      <c r="A116" s="18" t="s">
        <v>45</v>
      </c>
      <c r="B116" s="18" t="s">
        <v>60</v>
      </c>
      <c r="C116" s="18" t="s">
        <v>44</v>
      </c>
      <c r="D116" s="18" t="s">
        <v>79</v>
      </c>
      <c r="E116" s="18" t="s">
        <v>19</v>
      </c>
      <c r="F116" s="18" t="s">
        <v>36</v>
      </c>
      <c r="G116" s="19">
        <v>40972</v>
      </c>
      <c r="H116" s="18">
        <v>511011140</v>
      </c>
      <c r="I116" s="19">
        <v>41003</v>
      </c>
      <c r="J116" s="18">
        <v>6179</v>
      </c>
      <c r="K116" s="20">
        <v>154.06</v>
      </c>
      <c r="L116" s="20">
        <v>90.93</v>
      </c>
      <c r="M116" s="20">
        <v>951936.74</v>
      </c>
      <c r="N116" s="20">
        <v>561856.47</v>
      </c>
      <c r="O116" s="20">
        <v>390080.27</v>
      </c>
      <c r="P116" s="21">
        <f t="shared" si="3"/>
        <v>2012</v>
      </c>
    </row>
    <row r="117" ht="15.75" customHeight="1" spans="1:16">
      <c r="A117" s="18" t="s">
        <v>30</v>
      </c>
      <c r="B117" s="18" t="s">
        <v>72</v>
      </c>
      <c r="C117" s="18" t="s">
        <v>32</v>
      </c>
      <c r="D117" s="18" t="s">
        <v>77</v>
      </c>
      <c r="E117" s="18" t="s">
        <v>24</v>
      </c>
      <c r="F117" s="18" t="s">
        <v>20</v>
      </c>
      <c r="G117" s="19">
        <v>40890</v>
      </c>
      <c r="H117" s="18">
        <v>262906457</v>
      </c>
      <c r="I117" s="19">
        <v>40917</v>
      </c>
      <c r="J117" s="18">
        <v>8954</v>
      </c>
      <c r="K117" s="20">
        <v>47.45</v>
      </c>
      <c r="L117" s="20">
        <v>31.79</v>
      </c>
      <c r="M117" s="20">
        <v>424867.3</v>
      </c>
      <c r="N117" s="20">
        <v>284647.66</v>
      </c>
      <c r="O117" s="20">
        <v>140219.64</v>
      </c>
      <c r="P117" s="21">
        <f t="shared" si="3"/>
        <v>2011</v>
      </c>
    </row>
    <row r="118" ht="15.75" customHeight="1" spans="1:16">
      <c r="A118" s="18" t="s">
        <v>45</v>
      </c>
      <c r="B118" s="18" t="s">
        <v>58</v>
      </c>
      <c r="C118" s="18" t="s">
        <v>17</v>
      </c>
      <c r="D118" s="18" t="s">
        <v>43</v>
      </c>
      <c r="E118" s="18" t="s">
        <v>19</v>
      </c>
      <c r="F118" s="18" t="s">
        <v>25</v>
      </c>
      <c r="G118" s="19">
        <v>41818</v>
      </c>
      <c r="H118" s="18">
        <v>539000043</v>
      </c>
      <c r="I118" s="19">
        <v>41834</v>
      </c>
      <c r="J118" s="18">
        <v>4851</v>
      </c>
      <c r="K118" s="20">
        <v>668.27</v>
      </c>
      <c r="L118" s="20">
        <v>502.54</v>
      </c>
      <c r="M118" s="20">
        <v>3241777.77</v>
      </c>
      <c r="N118" s="20">
        <v>2437821.54</v>
      </c>
      <c r="O118" s="20">
        <v>803956.23</v>
      </c>
      <c r="P118" s="21">
        <f t="shared" si="3"/>
        <v>2014</v>
      </c>
    </row>
    <row r="119" ht="15.75" customHeight="1" spans="1:16">
      <c r="A119" s="18" t="s">
        <v>45</v>
      </c>
      <c r="B119" s="18" t="s">
        <v>60</v>
      </c>
      <c r="C119" s="18" t="s">
        <v>17</v>
      </c>
      <c r="D119" s="18" t="s">
        <v>52</v>
      </c>
      <c r="E119" s="18" t="s">
        <v>24</v>
      </c>
      <c r="F119" s="18" t="s">
        <v>40</v>
      </c>
      <c r="G119" s="19">
        <v>40782</v>
      </c>
      <c r="H119" s="18">
        <v>558337657</v>
      </c>
      <c r="I119" s="19">
        <v>40817</v>
      </c>
      <c r="J119" s="18">
        <v>6424</v>
      </c>
      <c r="K119" s="20">
        <v>668.27</v>
      </c>
      <c r="L119" s="20">
        <v>502.54</v>
      </c>
      <c r="M119" s="20">
        <v>4292966.48</v>
      </c>
      <c r="N119" s="20">
        <v>3228316.96</v>
      </c>
      <c r="O119" s="20">
        <v>1064649.52</v>
      </c>
      <c r="P119" s="21">
        <f t="shared" si="3"/>
        <v>2011</v>
      </c>
    </row>
    <row r="120" ht="15.75" customHeight="1" spans="1:16">
      <c r="A120" s="18" t="s">
        <v>41</v>
      </c>
      <c r="B120" s="18" t="s">
        <v>42</v>
      </c>
      <c r="C120" s="18" t="s">
        <v>17</v>
      </c>
      <c r="D120" s="18" t="s">
        <v>51</v>
      </c>
      <c r="E120" s="18" t="s">
        <v>24</v>
      </c>
      <c r="F120" s="18" t="s">
        <v>40</v>
      </c>
      <c r="G120" s="19">
        <v>41609</v>
      </c>
      <c r="H120" s="18">
        <v>586353709</v>
      </c>
      <c r="I120" s="19">
        <v>41614</v>
      </c>
      <c r="J120" s="18">
        <v>6132</v>
      </c>
      <c r="K120" s="20">
        <v>668.27</v>
      </c>
      <c r="L120" s="20">
        <v>502.54</v>
      </c>
      <c r="M120" s="20">
        <v>4097831.64</v>
      </c>
      <c r="N120" s="20">
        <v>3081575.28</v>
      </c>
      <c r="O120" s="20">
        <v>1016256.36</v>
      </c>
      <c r="P120" s="21">
        <f t="shared" si="3"/>
        <v>2013</v>
      </c>
    </row>
    <row r="121" ht="15.75" customHeight="1" spans="1:16">
      <c r="A121" s="18" t="s">
        <v>21</v>
      </c>
      <c r="B121" s="18" t="s">
        <v>37</v>
      </c>
      <c r="C121" s="18" t="s">
        <v>38</v>
      </c>
      <c r="D121" s="18" t="s">
        <v>76</v>
      </c>
      <c r="E121" s="18" t="s">
        <v>19</v>
      </c>
      <c r="F121" s="18" t="s">
        <v>25</v>
      </c>
      <c r="G121" s="19">
        <v>42033</v>
      </c>
      <c r="H121" s="18">
        <v>563402894</v>
      </c>
      <c r="I121" s="19">
        <v>42077</v>
      </c>
      <c r="J121" s="18">
        <v>3108</v>
      </c>
      <c r="K121" s="20">
        <v>205.7</v>
      </c>
      <c r="L121" s="20">
        <v>117.11</v>
      </c>
      <c r="M121" s="20">
        <v>639315.6</v>
      </c>
      <c r="N121" s="20">
        <v>363977.88</v>
      </c>
      <c r="O121" s="20">
        <v>275337.72</v>
      </c>
      <c r="P121" s="21">
        <f t="shared" si="3"/>
        <v>2015</v>
      </c>
    </row>
    <row r="122" ht="15.75" customHeight="1" spans="1:16">
      <c r="A122" s="18" t="s">
        <v>15</v>
      </c>
      <c r="B122" s="18" t="s">
        <v>16</v>
      </c>
      <c r="C122" s="18" t="s">
        <v>57</v>
      </c>
      <c r="D122" s="18" t="s">
        <v>51</v>
      </c>
      <c r="E122" s="18" t="s">
        <v>24</v>
      </c>
      <c r="F122" s="18" t="s">
        <v>36</v>
      </c>
      <c r="G122" s="19">
        <v>42539</v>
      </c>
      <c r="H122" s="18">
        <v>458626216</v>
      </c>
      <c r="I122" s="19">
        <v>42569</v>
      </c>
      <c r="J122" s="18">
        <v>8370</v>
      </c>
      <c r="K122" s="20">
        <v>9.33</v>
      </c>
      <c r="L122" s="20">
        <v>6.92</v>
      </c>
      <c r="M122" s="20">
        <v>78092.1</v>
      </c>
      <c r="N122" s="20">
        <v>57920.4</v>
      </c>
      <c r="O122" s="20">
        <v>20171.7</v>
      </c>
      <c r="P122" s="21">
        <f t="shared" si="3"/>
        <v>2016</v>
      </c>
    </row>
    <row r="123" ht="15.75" customHeight="1" spans="1:16">
      <c r="A123" s="18" t="s">
        <v>15</v>
      </c>
      <c r="B123" s="18" t="s">
        <v>16</v>
      </c>
      <c r="C123" s="18" t="s">
        <v>32</v>
      </c>
      <c r="D123" s="18" t="s">
        <v>84</v>
      </c>
      <c r="E123" s="18" t="s">
        <v>24</v>
      </c>
      <c r="F123" s="18" t="s">
        <v>20</v>
      </c>
      <c r="G123" s="19">
        <v>40653</v>
      </c>
      <c r="H123" s="18">
        <v>823507546</v>
      </c>
      <c r="I123" s="19">
        <v>40691</v>
      </c>
      <c r="J123" s="18">
        <v>4000</v>
      </c>
      <c r="K123" s="20">
        <v>47.45</v>
      </c>
      <c r="L123" s="20">
        <v>31.79</v>
      </c>
      <c r="M123" s="20">
        <v>189800</v>
      </c>
      <c r="N123" s="20">
        <v>127160</v>
      </c>
      <c r="O123" s="20">
        <v>62640</v>
      </c>
      <c r="P123" s="21">
        <f t="shared" si="3"/>
        <v>2011</v>
      </c>
    </row>
    <row r="124" ht="15.75" customHeight="1" spans="1:16">
      <c r="A124" s="18" t="s">
        <v>30</v>
      </c>
      <c r="B124" s="18" t="s">
        <v>31</v>
      </c>
      <c r="C124" s="18" t="s">
        <v>48</v>
      </c>
      <c r="D124" s="18" t="s">
        <v>76</v>
      </c>
      <c r="E124" s="18" t="s">
        <v>24</v>
      </c>
      <c r="F124" s="18" t="s">
        <v>25</v>
      </c>
      <c r="G124" s="19">
        <v>42169</v>
      </c>
      <c r="H124" s="18">
        <v>245509876</v>
      </c>
      <c r="I124" s="19">
        <v>42179</v>
      </c>
      <c r="J124" s="18">
        <v>6375</v>
      </c>
      <c r="K124" s="20">
        <v>255.28</v>
      </c>
      <c r="L124" s="20">
        <v>159.42</v>
      </c>
      <c r="M124" s="20">
        <v>1627410</v>
      </c>
      <c r="N124" s="20">
        <v>1016302.5</v>
      </c>
      <c r="O124" s="20">
        <v>611107.5</v>
      </c>
      <c r="P124" s="21">
        <f t="shared" si="3"/>
        <v>2015</v>
      </c>
    </row>
    <row r="125" ht="15.75" customHeight="1" spans="1:16">
      <c r="A125" s="18" t="s">
        <v>62</v>
      </c>
      <c r="B125" s="18" t="s">
        <v>63</v>
      </c>
      <c r="C125" s="18" t="s">
        <v>68</v>
      </c>
      <c r="D125" s="18" t="s">
        <v>43</v>
      </c>
      <c r="E125" s="18" t="s">
        <v>19</v>
      </c>
      <c r="F125" s="18" t="s">
        <v>25</v>
      </c>
      <c r="G125" s="19">
        <v>41145</v>
      </c>
      <c r="H125" s="18">
        <v>997600872</v>
      </c>
      <c r="I125" s="19">
        <v>41166</v>
      </c>
      <c r="J125" s="18">
        <v>1088</v>
      </c>
      <c r="K125" s="20">
        <v>109.28</v>
      </c>
      <c r="L125" s="20">
        <v>35.84</v>
      </c>
      <c r="M125" s="20">
        <v>118896.64</v>
      </c>
      <c r="N125" s="20">
        <v>38993.92</v>
      </c>
      <c r="O125" s="20">
        <v>79902.72</v>
      </c>
      <c r="P125" s="21">
        <f t="shared" si="3"/>
        <v>2012</v>
      </c>
    </row>
    <row r="126" ht="15.75" customHeight="1" spans="1:16">
      <c r="A126" s="18" t="s">
        <v>45</v>
      </c>
      <c r="B126" s="18" t="s">
        <v>56</v>
      </c>
      <c r="C126" s="18" t="s">
        <v>68</v>
      </c>
      <c r="D126" s="18" t="s">
        <v>77</v>
      </c>
      <c r="E126" s="18" t="s">
        <v>19</v>
      </c>
      <c r="F126" s="18" t="s">
        <v>40</v>
      </c>
      <c r="G126" s="19">
        <v>41971</v>
      </c>
      <c r="H126" s="18">
        <v>388091276</v>
      </c>
      <c r="I126" s="19">
        <v>42007</v>
      </c>
      <c r="J126" s="18">
        <v>9581</v>
      </c>
      <c r="K126" s="20">
        <v>109.28</v>
      </c>
      <c r="L126" s="20">
        <v>35.84</v>
      </c>
      <c r="M126" s="20">
        <v>1047011.68</v>
      </c>
      <c r="N126" s="20">
        <v>343383.04</v>
      </c>
      <c r="O126" s="20">
        <v>703628.64</v>
      </c>
      <c r="P126" s="21">
        <f t="shared" si="3"/>
        <v>2014</v>
      </c>
    </row>
    <row r="127" ht="15.75" customHeight="1" spans="1:16">
      <c r="A127" s="18" t="s">
        <v>15</v>
      </c>
      <c r="B127" s="18" t="s">
        <v>47</v>
      </c>
      <c r="C127" s="18" t="s">
        <v>17</v>
      </c>
      <c r="D127" s="18" t="s">
        <v>79</v>
      </c>
      <c r="E127" s="18" t="s">
        <v>24</v>
      </c>
      <c r="F127" s="18" t="s">
        <v>36</v>
      </c>
      <c r="G127" s="19">
        <v>42896</v>
      </c>
      <c r="H127" s="18">
        <v>636767792</v>
      </c>
      <c r="I127" s="19">
        <v>42929</v>
      </c>
      <c r="J127" s="18">
        <v>4924</v>
      </c>
      <c r="K127" s="20">
        <v>668.27</v>
      </c>
      <c r="L127" s="20">
        <v>502.54</v>
      </c>
      <c r="M127" s="20">
        <v>3290561.48</v>
      </c>
      <c r="N127" s="20">
        <v>2474506.96</v>
      </c>
      <c r="O127" s="20">
        <v>816054.52</v>
      </c>
      <c r="P127" s="21">
        <f t="shared" si="3"/>
        <v>2017</v>
      </c>
    </row>
    <row r="128" ht="15.75" customHeight="1" spans="1:16">
      <c r="A128" s="18" t="s">
        <v>21</v>
      </c>
      <c r="B128" s="18" t="s">
        <v>73</v>
      </c>
      <c r="C128" s="18" t="s">
        <v>17</v>
      </c>
      <c r="D128" s="18" t="s">
        <v>79</v>
      </c>
      <c r="E128" s="18" t="s">
        <v>24</v>
      </c>
      <c r="F128" s="18" t="s">
        <v>25</v>
      </c>
      <c r="G128" s="19">
        <v>42816</v>
      </c>
      <c r="H128" s="18">
        <v>247986933</v>
      </c>
      <c r="I128" s="19">
        <v>42822</v>
      </c>
      <c r="J128" s="18">
        <v>5483</v>
      </c>
      <c r="K128" s="20">
        <v>668.27</v>
      </c>
      <c r="L128" s="20">
        <v>502.54</v>
      </c>
      <c r="M128" s="20">
        <v>3664124.41</v>
      </c>
      <c r="N128" s="20">
        <v>2755426.82</v>
      </c>
      <c r="O128" s="20">
        <v>908697.589999999</v>
      </c>
      <c r="P128" s="21">
        <f t="shared" si="3"/>
        <v>2017</v>
      </c>
    </row>
    <row r="129" ht="15.75" customHeight="1" spans="1:16">
      <c r="A129" s="18" t="s">
        <v>62</v>
      </c>
      <c r="B129" s="18" t="s">
        <v>74</v>
      </c>
      <c r="C129" s="18" t="s">
        <v>68</v>
      </c>
      <c r="D129" s="18" t="s">
        <v>79</v>
      </c>
      <c r="E129" s="18" t="s">
        <v>19</v>
      </c>
      <c r="F129" s="18" t="s">
        <v>36</v>
      </c>
      <c r="G129" s="19">
        <v>42099</v>
      </c>
      <c r="H129" s="18">
        <v>580115612</v>
      </c>
      <c r="I129" s="19">
        <v>42111</v>
      </c>
      <c r="J129" s="18">
        <v>8438</v>
      </c>
      <c r="K129" s="20">
        <v>109.28</v>
      </c>
      <c r="L129" s="20">
        <v>35.84</v>
      </c>
      <c r="M129" s="20">
        <v>922104.64</v>
      </c>
      <c r="N129" s="20">
        <v>302417.92</v>
      </c>
      <c r="O129" s="20">
        <v>619686.72</v>
      </c>
      <c r="P129" s="21">
        <f t="shared" si="3"/>
        <v>2015</v>
      </c>
    </row>
    <row r="130" ht="15.75" customHeight="1" spans="1:16">
      <c r="A130" s="18" t="s">
        <v>30</v>
      </c>
      <c r="B130" s="18" t="s">
        <v>72</v>
      </c>
      <c r="C130" s="18" t="s">
        <v>32</v>
      </c>
      <c r="D130" s="18" t="s">
        <v>79</v>
      </c>
      <c r="E130" s="18" t="s">
        <v>24</v>
      </c>
      <c r="F130" s="18" t="s">
        <v>20</v>
      </c>
      <c r="G130" s="19">
        <v>42313</v>
      </c>
      <c r="H130" s="18">
        <v>485640223</v>
      </c>
      <c r="I130" s="19">
        <v>42345</v>
      </c>
      <c r="J130" s="18">
        <v>3862</v>
      </c>
      <c r="K130" s="20">
        <v>47.45</v>
      </c>
      <c r="L130" s="20">
        <v>31.79</v>
      </c>
      <c r="M130" s="20">
        <v>183251.9</v>
      </c>
      <c r="N130" s="20">
        <v>122772.98</v>
      </c>
      <c r="O130" s="20">
        <v>60478.92</v>
      </c>
      <c r="P130" s="21">
        <f t="shared" si="3"/>
        <v>2015</v>
      </c>
    </row>
    <row r="131" ht="15.75" customHeight="1" spans="1:16">
      <c r="A131" s="18" t="s">
        <v>21</v>
      </c>
      <c r="B131" s="18" t="s">
        <v>61</v>
      </c>
      <c r="C131" s="18" t="s">
        <v>34</v>
      </c>
      <c r="D131" s="18" t="s">
        <v>23</v>
      </c>
      <c r="E131" s="18" t="s">
        <v>24</v>
      </c>
      <c r="F131" s="18" t="s">
        <v>40</v>
      </c>
      <c r="G131" s="19">
        <v>42669</v>
      </c>
      <c r="H131" s="18">
        <v>547142965</v>
      </c>
      <c r="I131" s="19">
        <v>42681</v>
      </c>
      <c r="J131" s="18">
        <v>3710</v>
      </c>
      <c r="K131" s="20">
        <v>651.21</v>
      </c>
      <c r="L131" s="20">
        <v>524.96</v>
      </c>
      <c r="M131" s="20">
        <v>2415989.1</v>
      </c>
      <c r="N131" s="20">
        <v>1947601.6</v>
      </c>
      <c r="O131" s="20">
        <v>468387.5</v>
      </c>
      <c r="P131" s="21">
        <f t="shared" ref="P131:P151" si="4">YEAR(G131)</f>
        <v>2016</v>
      </c>
    </row>
    <row r="132" ht="15.75" customHeight="1" spans="1:16">
      <c r="A132" s="18" t="s">
        <v>21</v>
      </c>
      <c r="B132" s="18" t="s">
        <v>70</v>
      </c>
      <c r="C132" s="18" t="s">
        <v>48</v>
      </c>
      <c r="D132" s="18" t="s">
        <v>54</v>
      </c>
      <c r="E132" s="18" t="s">
        <v>24</v>
      </c>
      <c r="F132" s="18" t="s">
        <v>40</v>
      </c>
      <c r="G132" s="19">
        <v>41466</v>
      </c>
      <c r="H132" s="18">
        <v>337575970</v>
      </c>
      <c r="I132" s="19">
        <v>41504</v>
      </c>
      <c r="J132" s="18">
        <v>2543</v>
      </c>
      <c r="K132" s="20">
        <v>255.28</v>
      </c>
      <c r="L132" s="20">
        <v>159.42</v>
      </c>
      <c r="M132" s="20">
        <v>649177.04</v>
      </c>
      <c r="N132" s="20">
        <v>405405.06</v>
      </c>
      <c r="O132" s="20">
        <v>243771.98</v>
      </c>
      <c r="P132" s="21">
        <f t="shared" si="4"/>
        <v>2013</v>
      </c>
    </row>
    <row r="133" ht="15.75" customHeight="1" spans="1:16">
      <c r="A133" s="18" t="s">
        <v>41</v>
      </c>
      <c r="B133" s="18" t="s">
        <v>71</v>
      </c>
      <c r="C133" s="18" t="s">
        <v>17</v>
      </c>
      <c r="D133" s="18" t="s">
        <v>78</v>
      </c>
      <c r="E133" s="18" t="s">
        <v>19</v>
      </c>
      <c r="F133" s="18" t="s">
        <v>36</v>
      </c>
      <c r="G133" s="19">
        <v>40630</v>
      </c>
      <c r="H133" s="18">
        <v>705941941</v>
      </c>
      <c r="I133" s="19">
        <v>40671</v>
      </c>
      <c r="J133" s="18">
        <v>7012</v>
      </c>
      <c r="K133" s="20">
        <v>668.27</v>
      </c>
      <c r="L133" s="20">
        <v>502.54</v>
      </c>
      <c r="M133" s="20">
        <v>4685909.24</v>
      </c>
      <c r="N133" s="20">
        <v>3523810.48</v>
      </c>
      <c r="O133" s="20">
        <v>1162098.76</v>
      </c>
      <c r="P133" s="21">
        <f t="shared" si="4"/>
        <v>2011</v>
      </c>
    </row>
    <row r="134" ht="15.75" customHeight="1" spans="1:16">
      <c r="A134" s="18" t="s">
        <v>41</v>
      </c>
      <c r="B134" s="18" t="s">
        <v>42</v>
      </c>
      <c r="C134" s="18" t="s">
        <v>65</v>
      </c>
      <c r="D134" s="18" t="s">
        <v>33</v>
      </c>
      <c r="E134" s="18" t="s">
        <v>24</v>
      </c>
      <c r="F134" s="18" t="s">
        <v>40</v>
      </c>
      <c r="G134" s="19">
        <v>40508</v>
      </c>
      <c r="H134" s="18">
        <v>992864662</v>
      </c>
      <c r="I134" s="19">
        <v>40519</v>
      </c>
      <c r="J134" s="18">
        <v>4642</v>
      </c>
      <c r="K134" s="20">
        <v>152.58</v>
      </c>
      <c r="L134" s="20">
        <v>97.44</v>
      </c>
      <c r="M134" s="20">
        <v>708276.36</v>
      </c>
      <c r="N134" s="20">
        <v>452316.48</v>
      </c>
      <c r="O134" s="20">
        <v>255959.88</v>
      </c>
      <c r="P134" s="21">
        <f t="shared" si="4"/>
        <v>2010</v>
      </c>
    </row>
    <row r="135" ht="15.75" customHeight="1" spans="1:16">
      <c r="A135" s="18" t="s">
        <v>21</v>
      </c>
      <c r="B135" s="18" t="s">
        <v>70</v>
      </c>
      <c r="C135" s="18" t="s">
        <v>38</v>
      </c>
      <c r="D135" s="18" t="s">
        <v>43</v>
      </c>
      <c r="E135" s="18" t="s">
        <v>24</v>
      </c>
      <c r="F135" s="18" t="s">
        <v>25</v>
      </c>
      <c r="G135" s="19">
        <v>43041</v>
      </c>
      <c r="H135" s="18">
        <v>494352531</v>
      </c>
      <c r="I135" s="19">
        <v>43050</v>
      </c>
      <c r="J135" s="18">
        <v>3994</v>
      </c>
      <c r="K135" s="20">
        <v>205.7</v>
      </c>
      <c r="L135" s="20">
        <v>117.11</v>
      </c>
      <c r="M135" s="20">
        <v>821565.8</v>
      </c>
      <c r="N135" s="20">
        <v>467737.34</v>
      </c>
      <c r="O135" s="20">
        <v>353828.46</v>
      </c>
      <c r="P135" s="21">
        <f t="shared" si="4"/>
        <v>2017</v>
      </c>
    </row>
    <row r="136" ht="15.75" customHeight="1" spans="1:16">
      <c r="A136" s="18" t="s">
        <v>26</v>
      </c>
      <c r="B136" s="18" t="s">
        <v>50</v>
      </c>
      <c r="C136" s="18" t="s">
        <v>44</v>
      </c>
      <c r="D136" s="18" t="s">
        <v>23</v>
      </c>
      <c r="E136" s="18" t="s">
        <v>19</v>
      </c>
      <c r="F136" s="18" t="s">
        <v>40</v>
      </c>
      <c r="G136" s="19">
        <v>40574</v>
      </c>
      <c r="H136" s="18">
        <v>633215492</v>
      </c>
      <c r="I136" s="19">
        <v>40598</v>
      </c>
      <c r="J136" s="18">
        <v>1204</v>
      </c>
      <c r="K136" s="20">
        <v>154.06</v>
      </c>
      <c r="L136" s="20">
        <v>90.93</v>
      </c>
      <c r="M136" s="20">
        <v>185488.24</v>
      </c>
      <c r="N136" s="20">
        <v>109479.72</v>
      </c>
      <c r="O136" s="20">
        <v>76008.52</v>
      </c>
      <c r="P136" s="21">
        <f t="shared" si="4"/>
        <v>2011</v>
      </c>
    </row>
    <row r="137" ht="15.75" customHeight="1" spans="1:16">
      <c r="A137" s="18" t="s">
        <v>41</v>
      </c>
      <c r="B137" s="18" t="s">
        <v>71</v>
      </c>
      <c r="C137" s="18" t="s">
        <v>34</v>
      </c>
      <c r="D137" s="18" t="s">
        <v>75</v>
      </c>
      <c r="E137" s="18" t="s">
        <v>19</v>
      </c>
      <c r="F137" s="18" t="s">
        <v>36</v>
      </c>
      <c r="G137" s="19">
        <v>42069</v>
      </c>
      <c r="H137" s="18">
        <v>227812971</v>
      </c>
      <c r="I137" s="19">
        <v>42095</v>
      </c>
      <c r="J137" s="18">
        <v>3079</v>
      </c>
      <c r="K137" s="20">
        <v>651.21</v>
      </c>
      <c r="L137" s="20">
        <v>524.96</v>
      </c>
      <c r="M137" s="20">
        <v>2005075.59</v>
      </c>
      <c r="N137" s="20">
        <v>1616351.84</v>
      </c>
      <c r="O137" s="20">
        <v>388723.75</v>
      </c>
      <c r="P137" s="21">
        <f t="shared" si="4"/>
        <v>2015</v>
      </c>
    </row>
    <row r="138" ht="15.75" customHeight="1" spans="1:16">
      <c r="A138" s="18" t="s">
        <v>30</v>
      </c>
      <c r="B138" s="18" t="s">
        <v>72</v>
      </c>
      <c r="C138" s="18" t="s">
        <v>65</v>
      </c>
      <c r="D138" s="18" t="s">
        <v>49</v>
      </c>
      <c r="E138" s="18" t="s">
        <v>24</v>
      </c>
      <c r="F138" s="18" t="s">
        <v>40</v>
      </c>
      <c r="G138" s="19">
        <v>42752</v>
      </c>
      <c r="H138" s="18">
        <v>278817575</v>
      </c>
      <c r="I138" s="19">
        <v>42765</v>
      </c>
      <c r="J138" s="18">
        <v>4433</v>
      </c>
      <c r="K138" s="20">
        <v>152.58</v>
      </c>
      <c r="L138" s="20">
        <v>97.44</v>
      </c>
      <c r="M138" s="20">
        <v>676387.14</v>
      </c>
      <c r="N138" s="20">
        <v>431951.52</v>
      </c>
      <c r="O138" s="20">
        <v>244435.62</v>
      </c>
      <c r="P138" s="21">
        <f t="shared" si="4"/>
        <v>2017</v>
      </c>
    </row>
    <row r="139" ht="15.75" customHeight="1" spans="1:16">
      <c r="A139" s="18" t="s">
        <v>21</v>
      </c>
      <c r="B139" s="18" t="s">
        <v>61</v>
      </c>
      <c r="C139" s="18" t="s">
        <v>65</v>
      </c>
      <c r="D139" s="18" t="s">
        <v>51</v>
      </c>
      <c r="E139" s="18" t="s">
        <v>24</v>
      </c>
      <c r="F139" s="18" t="s">
        <v>20</v>
      </c>
      <c r="G139" s="19">
        <v>42720</v>
      </c>
      <c r="H139" s="18">
        <v>668122009</v>
      </c>
      <c r="I139" s="19">
        <v>42728</v>
      </c>
      <c r="J139" s="18">
        <v>9033</v>
      </c>
      <c r="K139" s="20">
        <v>152.58</v>
      </c>
      <c r="L139" s="20">
        <v>97.44</v>
      </c>
      <c r="M139" s="20">
        <v>1378255.14</v>
      </c>
      <c r="N139" s="20">
        <v>880175.52</v>
      </c>
      <c r="O139" s="20">
        <v>498079.62</v>
      </c>
      <c r="P139" s="21">
        <f t="shared" si="4"/>
        <v>2016</v>
      </c>
    </row>
    <row r="140" ht="15.75" customHeight="1" spans="1:16">
      <c r="A140" s="18" t="s">
        <v>21</v>
      </c>
      <c r="B140" s="18" t="s">
        <v>83</v>
      </c>
      <c r="C140" s="18" t="s">
        <v>44</v>
      </c>
      <c r="D140" s="18" t="s">
        <v>52</v>
      </c>
      <c r="E140" s="18" t="s">
        <v>19</v>
      </c>
      <c r="F140" s="18" t="s">
        <v>20</v>
      </c>
      <c r="G140" s="19">
        <v>42354</v>
      </c>
      <c r="H140" s="18">
        <v>379406633</v>
      </c>
      <c r="I140" s="19">
        <v>42379</v>
      </c>
      <c r="J140" s="18">
        <v>5875</v>
      </c>
      <c r="K140" s="20">
        <v>154.06</v>
      </c>
      <c r="L140" s="20">
        <v>90.93</v>
      </c>
      <c r="M140" s="20">
        <v>905102.5</v>
      </c>
      <c r="N140" s="20">
        <v>534213.75</v>
      </c>
      <c r="O140" s="20">
        <v>370888.75</v>
      </c>
      <c r="P140" s="21">
        <f t="shared" si="4"/>
        <v>2015</v>
      </c>
    </row>
    <row r="141" ht="15.75" customHeight="1" spans="1:16">
      <c r="A141" s="18" t="s">
        <v>62</v>
      </c>
      <c r="B141" s="18" t="s">
        <v>74</v>
      </c>
      <c r="C141" s="18" t="s">
        <v>44</v>
      </c>
      <c r="D141" s="18" t="s">
        <v>49</v>
      </c>
      <c r="E141" s="18" t="s">
        <v>19</v>
      </c>
      <c r="F141" s="18" t="s">
        <v>25</v>
      </c>
      <c r="G141" s="19">
        <v>41580</v>
      </c>
      <c r="H141" s="18">
        <v>986572630</v>
      </c>
      <c r="I141" s="19">
        <v>41596</v>
      </c>
      <c r="J141" s="18">
        <v>8441</v>
      </c>
      <c r="K141" s="20">
        <v>154.06</v>
      </c>
      <c r="L141" s="20">
        <v>90.93</v>
      </c>
      <c r="M141" s="20">
        <v>1300420.46</v>
      </c>
      <c r="N141" s="20">
        <v>767540.13</v>
      </c>
      <c r="O141" s="20">
        <v>532880.33</v>
      </c>
      <c r="P141" s="21">
        <f t="shared" si="4"/>
        <v>2013</v>
      </c>
    </row>
    <row r="142" ht="15.75" customHeight="1" spans="1:16">
      <c r="A142" s="18" t="s">
        <v>41</v>
      </c>
      <c r="B142" s="18" t="s">
        <v>42</v>
      </c>
      <c r="C142" s="18" t="s">
        <v>34</v>
      </c>
      <c r="D142" s="18" t="s">
        <v>66</v>
      </c>
      <c r="E142" s="18" t="s">
        <v>19</v>
      </c>
      <c r="F142" s="18" t="s">
        <v>36</v>
      </c>
      <c r="G142" s="19">
        <v>40788</v>
      </c>
      <c r="H142" s="18">
        <v>671651820</v>
      </c>
      <c r="I142" s="19">
        <v>40804</v>
      </c>
      <c r="J142" s="18">
        <v>6536</v>
      </c>
      <c r="K142" s="20">
        <v>651.21</v>
      </c>
      <c r="L142" s="20">
        <v>524.96</v>
      </c>
      <c r="M142" s="20">
        <v>4256308.56</v>
      </c>
      <c r="N142" s="20">
        <v>3431138.56</v>
      </c>
      <c r="O142" s="20">
        <v>825170</v>
      </c>
      <c r="P142" s="21">
        <f t="shared" si="4"/>
        <v>2011</v>
      </c>
    </row>
    <row r="143" ht="15.75" customHeight="1" spans="1:16">
      <c r="A143" s="18" t="s">
        <v>21</v>
      </c>
      <c r="B143" s="18" t="s">
        <v>37</v>
      </c>
      <c r="C143" s="18" t="s">
        <v>28</v>
      </c>
      <c r="D143" s="18" t="s">
        <v>18</v>
      </c>
      <c r="E143" s="18" t="s">
        <v>24</v>
      </c>
      <c r="F143" s="18" t="s">
        <v>20</v>
      </c>
      <c r="G143" s="19">
        <v>42860</v>
      </c>
      <c r="H143" s="18">
        <v>814181627</v>
      </c>
      <c r="I143" s="19">
        <v>42866</v>
      </c>
      <c r="J143" s="18">
        <v>6341</v>
      </c>
      <c r="K143" s="20">
        <v>437.2</v>
      </c>
      <c r="L143" s="20">
        <v>263.33</v>
      </c>
      <c r="M143" s="20">
        <v>2772285.2</v>
      </c>
      <c r="N143" s="20">
        <v>1669775.53</v>
      </c>
      <c r="O143" s="20">
        <v>1102509.67</v>
      </c>
      <c r="P143" s="21">
        <f t="shared" si="4"/>
        <v>2017</v>
      </c>
    </row>
    <row r="144" ht="15.75" customHeight="1" spans="1:16">
      <c r="A144" s="18" t="s">
        <v>30</v>
      </c>
      <c r="B144" s="18" t="s">
        <v>53</v>
      </c>
      <c r="C144" s="18" t="s">
        <v>48</v>
      </c>
      <c r="D144" s="18" t="s">
        <v>18</v>
      </c>
      <c r="E144" s="18" t="s">
        <v>24</v>
      </c>
      <c r="F144" s="18" t="s">
        <v>40</v>
      </c>
      <c r="G144" s="19">
        <v>40972</v>
      </c>
      <c r="H144" s="18">
        <v>698270100</v>
      </c>
      <c r="I144" s="19">
        <v>41005</v>
      </c>
      <c r="J144" s="18">
        <v>4250</v>
      </c>
      <c r="K144" s="20">
        <v>255.28</v>
      </c>
      <c r="L144" s="20">
        <v>159.42</v>
      </c>
      <c r="M144" s="20">
        <v>1084940</v>
      </c>
      <c r="N144" s="20">
        <v>677535</v>
      </c>
      <c r="O144" s="20">
        <v>407405</v>
      </c>
      <c r="P144" s="21">
        <f t="shared" si="4"/>
        <v>2012</v>
      </c>
    </row>
    <row r="145" ht="15.75" customHeight="1" spans="1:16">
      <c r="A145" s="18" t="s">
        <v>30</v>
      </c>
      <c r="B145" s="18" t="s">
        <v>53</v>
      </c>
      <c r="C145" s="18" t="s">
        <v>65</v>
      </c>
      <c r="D145" s="18" t="s">
        <v>77</v>
      </c>
      <c r="E145" s="18" t="s">
        <v>19</v>
      </c>
      <c r="F145" s="18" t="s">
        <v>20</v>
      </c>
      <c r="G145" s="19">
        <v>40276</v>
      </c>
      <c r="H145" s="18">
        <v>902427637</v>
      </c>
      <c r="I145" s="19">
        <v>40304</v>
      </c>
      <c r="J145" s="18">
        <v>6612</v>
      </c>
      <c r="K145" s="20">
        <v>152.58</v>
      </c>
      <c r="L145" s="20">
        <v>97.44</v>
      </c>
      <c r="M145" s="20">
        <v>1008858.96</v>
      </c>
      <c r="N145" s="20">
        <v>644273.28</v>
      </c>
      <c r="O145" s="20">
        <v>364585.68</v>
      </c>
      <c r="P145" s="21">
        <f t="shared" si="4"/>
        <v>2010</v>
      </c>
    </row>
    <row r="146" ht="15.75" customHeight="1" spans="1:16">
      <c r="A146" s="18" t="s">
        <v>62</v>
      </c>
      <c r="B146" s="18" t="s">
        <v>74</v>
      </c>
      <c r="C146" s="18" t="s">
        <v>38</v>
      </c>
      <c r="D146" s="18" t="s">
        <v>39</v>
      </c>
      <c r="E146" s="18" t="s">
        <v>24</v>
      </c>
      <c r="F146" s="18" t="s">
        <v>40</v>
      </c>
      <c r="G146" s="19">
        <v>41941</v>
      </c>
      <c r="H146" s="18">
        <v>981483258</v>
      </c>
      <c r="I146" s="19">
        <v>41962</v>
      </c>
      <c r="J146" s="18">
        <v>6522</v>
      </c>
      <c r="K146" s="20">
        <v>205.7</v>
      </c>
      <c r="L146" s="20">
        <v>117.11</v>
      </c>
      <c r="M146" s="20">
        <v>1341575.4</v>
      </c>
      <c r="N146" s="20">
        <v>763791.42</v>
      </c>
      <c r="O146" s="20">
        <v>577783.98</v>
      </c>
      <c r="P146" s="21">
        <f t="shared" si="4"/>
        <v>2014</v>
      </c>
    </row>
    <row r="147" ht="15.75" customHeight="1" spans="1:16">
      <c r="A147" s="18" t="s">
        <v>26</v>
      </c>
      <c r="B147" s="18" t="s">
        <v>27</v>
      </c>
      <c r="C147" s="18" t="s">
        <v>32</v>
      </c>
      <c r="D147" s="18" t="s">
        <v>75</v>
      </c>
      <c r="E147" s="18" t="s">
        <v>19</v>
      </c>
      <c r="F147" s="18" t="s">
        <v>25</v>
      </c>
      <c r="G147" s="19">
        <v>42939</v>
      </c>
      <c r="H147" s="18">
        <v>799192960</v>
      </c>
      <c r="I147" s="19">
        <v>42983</v>
      </c>
      <c r="J147" s="18">
        <v>1640</v>
      </c>
      <c r="K147" s="20">
        <v>47.45</v>
      </c>
      <c r="L147" s="20">
        <v>31.79</v>
      </c>
      <c r="M147" s="20">
        <v>77818</v>
      </c>
      <c r="N147" s="20">
        <v>52135.6</v>
      </c>
      <c r="O147" s="20">
        <v>25682.4</v>
      </c>
      <c r="P147" s="21">
        <f t="shared" si="4"/>
        <v>2017</v>
      </c>
    </row>
    <row r="148" ht="15.75" customHeight="1" spans="1:16">
      <c r="A148" s="18" t="s">
        <v>21</v>
      </c>
      <c r="B148" s="18" t="s">
        <v>70</v>
      </c>
      <c r="C148" s="18" t="s">
        <v>17</v>
      </c>
      <c r="D148" s="18" t="s">
        <v>55</v>
      </c>
      <c r="E148" s="18" t="s">
        <v>19</v>
      </c>
      <c r="F148" s="18" t="s">
        <v>40</v>
      </c>
      <c r="G148" s="19">
        <v>40309</v>
      </c>
      <c r="H148" s="18">
        <v>110047595</v>
      </c>
      <c r="I148" s="19">
        <v>40350</v>
      </c>
      <c r="J148" s="18">
        <v>8763</v>
      </c>
      <c r="K148" s="20">
        <v>668.27</v>
      </c>
      <c r="L148" s="20">
        <v>502.54</v>
      </c>
      <c r="M148" s="20">
        <v>5856050.01</v>
      </c>
      <c r="N148" s="20">
        <v>4403758.02</v>
      </c>
      <c r="O148" s="20">
        <v>1452291.99</v>
      </c>
      <c r="P148" s="21">
        <f t="shared" si="4"/>
        <v>2010</v>
      </c>
    </row>
    <row r="149" ht="15.75" customHeight="1" spans="1:16">
      <c r="A149" s="18" t="s">
        <v>30</v>
      </c>
      <c r="B149" s="18" t="s">
        <v>72</v>
      </c>
      <c r="C149" s="18" t="s">
        <v>68</v>
      </c>
      <c r="D149" s="18" t="s">
        <v>75</v>
      </c>
      <c r="E149" s="18" t="s">
        <v>24</v>
      </c>
      <c r="F149" s="18" t="s">
        <v>40</v>
      </c>
      <c r="G149" s="19">
        <v>41815</v>
      </c>
      <c r="H149" s="18">
        <v>960012873</v>
      </c>
      <c r="I149" s="19">
        <v>41836</v>
      </c>
      <c r="J149" s="18">
        <v>4040</v>
      </c>
      <c r="K149" s="20">
        <v>109.28</v>
      </c>
      <c r="L149" s="20">
        <v>35.84</v>
      </c>
      <c r="M149" s="20">
        <v>441491.2</v>
      </c>
      <c r="N149" s="20">
        <v>144793.6</v>
      </c>
      <c r="O149" s="20">
        <v>296697.6</v>
      </c>
      <c r="P149" s="21">
        <f t="shared" si="4"/>
        <v>2014</v>
      </c>
    </row>
    <row r="150" ht="15.75" customHeight="1" spans="1:16">
      <c r="A150" s="18" t="s">
        <v>15</v>
      </c>
      <c r="B150" s="18" t="s">
        <v>16</v>
      </c>
      <c r="C150" s="18" t="s">
        <v>17</v>
      </c>
      <c r="D150" s="18" t="s">
        <v>79</v>
      </c>
      <c r="E150" s="18" t="s">
        <v>24</v>
      </c>
      <c r="F150" s="18" t="s">
        <v>40</v>
      </c>
      <c r="G150" s="19">
        <v>42887</v>
      </c>
      <c r="H150" s="18">
        <v>781969366</v>
      </c>
      <c r="I150" s="19">
        <v>42908</v>
      </c>
      <c r="J150" s="18">
        <v>6004</v>
      </c>
      <c r="K150" s="20">
        <v>668.27</v>
      </c>
      <c r="L150" s="20">
        <v>502.54</v>
      </c>
      <c r="M150" s="20">
        <v>4012293.08</v>
      </c>
      <c r="N150" s="20">
        <v>3017250.16</v>
      </c>
      <c r="O150" s="20">
        <v>995042.92</v>
      </c>
      <c r="P150" s="21">
        <f t="shared" si="4"/>
        <v>2017</v>
      </c>
    </row>
    <row r="151" ht="15.75" customHeight="1" spans="1:16">
      <c r="A151" s="18" t="s">
        <v>41</v>
      </c>
      <c r="B151" s="18" t="s">
        <v>71</v>
      </c>
      <c r="C151" s="18" t="s">
        <v>68</v>
      </c>
      <c r="D151" s="18" t="s">
        <v>77</v>
      </c>
      <c r="E151" s="18" t="s">
        <v>19</v>
      </c>
      <c r="F151" s="18" t="s">
        <v>20</v>
      </c>
      <c r="G151" s="19">
        <v>41291</v>
      </c>
      <c r="H151" s="18">
        <v>929681210</v>
      </c>
      <c r="I151" s="19">
        <v>41307</v>
      </c>
      <c r="J151" s="18">
        <v>4393</v>
      </c>
      <c r="K151" s="20">
        <v>109.28</v>
      </c>
      <c r="L151" s="20">
        <v>35.84</v>
      </c>
      <c r="M151" s="20">
        <v>480067.04</v>
      </c>
      <c r="N151" s="20">
        <v>157445.12</v>
      </c>
      <c r="O151" s="20">
        <v>322621.92</v>
      </c>
      <c r="P151" s="21">
        <f t="shared" si="4"/>
        <v>2013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showGridLines="0" workbookViewId="0">
      <selection activeCell="S1" sqref="S$1:S$1048576"/>
    </sheetView>
  </sheetViews>
  <sheetFormatPr defaultColWidth="14.4285714285714" defaultRowHeight="15" customHeight="1"/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3"/>
  <sheetViews>
    <sheetView showGridLines="0" tabSelected="1" workbookViewId="0">
      <selection activeCell="D29" sqref="D29"/>
    </sheetView>
  </sheetViews>
  <sheetFormatPr defaultColWidth="14.4285714285714" defaultRowHeight="15" customHeight="1" outlineLevelCol="2"/>
  <cols>
    <col min="1" max="1" width="13.7142857142857" customWidth="1"/>
    <col min="2" max="2" width="19.8571428571429" customWidth="1"/>
    <col min="3" max="3" width="17.1428571428571" customWidth="1"/>
  </cols>
  <sheetData>
    <row r="1" customHeight="1" spans="1:3">
      <c r="A1" s="1"/>
      <c r="B1" s="1"/>
      <c r="C1" s="2"/>
    </row>
    <row r="2" customHeight="1" spans="1:3">
      <c r="A2" s="1" t="s">
        <v>2</v>
      </c>
      <c r="B2" s="1" t="s">
        <v>85</v>
      </c>
      <c r="C2" s="12" t="s">
        <v>86</v>
      </c>
    </row>
    <row r="3" customHeight="1" spans="1:3">
      <c r="A3" s="1" t="s">
        <v>48</v>
      </c>
      <c r="B3" s="1">
        <v>19500839.2</v>
      </c>
      <c r="C3" s="12">
        <v>7322745.4</v>
      </c>
    </row>
    <row r="4" customHeight="1" spans="1:3">
      <c r="A4" s="3" t="s">
        <v>32</v>
      </c>
      <c r="B4" s="10">
        <v>4627371.45</v>
      </c>
      <c r="C4" s="13">
        <v>1527178.86</v>
      </c>
    </row>
    <row r="5" customHeight="1" spans="1:3">
      <c r="A5" s="3" t="s">
        <v>38</v>
      </c>
      <c r="B5" s="10">
        <v>13177142</v>
      </c>
      <c r="C5" s="13">
        <v>5675075.4</v>
      </c>
    </row>
    <row r="6" customHeight="1" spans="1:3">
      <c r="A6" s="3" t="s">
        <v>68</v>
      </c>
      <c r="B6" s="10">
        <v>8368116</v>
      </c>
      <c r="C6" s="13">
        <v>5623668</v>
      </c>
    </row>
    <row r="7" customHeight="1" spans="1:3">
      <c r="A7" s="3" t="s">
        <v>28</v>
      </c>
      <c r="B7" s="10">
        <v>39036276.4</v>
      </c>
      <c r="C7" s="13">
        <v>15524330.69</v>
      </c>
    </row>
    <row r="8" customHeight="1" spans="1:3">
      <c r="A8" s="3" t="s">
        <v>57</v>
      </c>
      <c r="B8" s="10">
        <v>590589</v>
      </c>
      <c r="C8" s="13">
        <v>152553</v>
      </c>
    </row>
    <row r="9" customHeight="1" spans="1:3">
      <c r="A9" s="3" t="s">
        <v>17</v>
      </c>
      <c r="B9" s="10">
        <v>78446210.49</v>
      </c>
      <c r="C9" s="13">
        <v>19454547.51</v>
      </c>
    </row>
    <row r="10" customHeight="1" spans="1:3">
      <c r="A10" s="3" t="s">
        <v>34</v>
      </c>
      <c r="B10" s="10">
        <v>43287231.12</v>
      </c>
      <c r="C10" s="13">
        <v>8392090</v>
      </c>
    </row>
    <row r="11" customHeight="1" spans="1:3">
      <c r="A11" s="3" t="s">
        <v>65</v>
      </c>
      <c r="B11" s="10">
        <v>14059636.68</v>
      </c>
      <c r="C11" s="13">
        <v>5080930.44</v>
      </c>
    </row>
    <row r="12" customHeight="1" spans="1:3">
      <c r="A12" s="3" t="s">
        <v>44</v>
      </c>
      <c r="B12" s="10">
        <v>10154556.78</v>
      </c>
      <c r="C12" s="13">
        <v>4161087.69</v>
      </c>
    </row>
    <row r="13" customHeight="1" spans="1:3">
      <c r="A13" s="5" t="s">
        <v>87</v>
      </c>
      <c r="B13" s="5">
        <v>231247969.12</v>
      </c>
      <c r="C13" s="14">
        <v>72914206.99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4"/>
  <sheetViews>
    <sheetView showGridLines="0" workbookViewId="0">
      <selection activeCell="E23" sqref="E23"/>
    </sheetView>
  </sheetViews>
  <sheetFormatPr defaultColWidth="14.4285714285714" defaultRowHeight="15" customHeight="1" outlineLevelRow="3" outlineLevelCol="1"/>
  <sheetData>
    <row r="1" customHeight="1" spans="1:2">
      <c r="A1" s="1" t="s">
        <v>4</v>
      </c>
      <c r="B1" s="2" t="s">
        <v>86</v>
      </c>
    </row>
    <row r="2" customHeight="1" spans="1:2">
      <c r="A2" s="1" t="s">
        <v>19</v>
      </c>
      <c r="B2" s="2">
        <v>30581097.34</v>
      </c>
    </row>
    <row r="3" customHeight="1" spans="1:2">
      <c r="A3" s="3" t="s">
        <v>24</v>
      </c>
      <c r="B3" s="4">
        <v>42333109.65</v>
      </c>
    </row>
    <row r="4" customHeight="1" spans="1:2">
      <c r="A4" s="5" t="s">
        <v>87</v>
      </c>
      <c r="B4" s="6">
        <v>72914206.99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1"/>
  <sheetViews>
    <sheetView showGridLines="0" workbookViewId="0">
      <selection activeCell="F21" sqref="F21"/>
    </sheetView>
  </sheetViews>
  <sheetFormatPr defaultColWidth="14.4285714285714" defaultRowHeight="15" customHeight="1" outlineLevelCol="3"/>
  <sheetData>
    <row r="1" customHeight="1" spans="1:4">
      <c r="A1" s="1" t="s">
        <v>86</v>
      </c>
      <c r="B1" s="1" t="s">
        <v>4</v>
      </c>
      <c r="C1" s="1"/>
      <c r="D1" s="8"/>
    </row>
    <row r="2" customHeight="1" spans="1:4">
      <c r="A2" s="1" t="s">
        <v>6</v>
      </c>
      <c r="B2" s="1" t="s">
        <v>19</v>
      </c>
      <c r="C2" s="9" t="s">
        <v>24</v>
      </c>
      <c r="D2" s="2" t="s">
        <v>87</v>
      </c>
    </row>
    <row r="3" customHeight="1" spans="1:4">
      <c r="A3" s="1" t="s">
        <v>88</v>
      </c>
      <c r="B3" s="1">
        <v>2599786.19</v>
      </c>
      <c r="C3" s="9">
        <v>6429492.05</v>
      </c>
      <c r="D3" s="2">
        <v>9029278.24</v>
      </c>
    </row>
    <row r="4" customHeight="1" spans="1:4">
      <c r="A4" s="3" t="s">
        <v>89</v>
      </c>
      <c r="B4" s="10">
        <v>4869267.02</v>
      </c>
      <c r="C4">
        <v>6899204</v>
      </c>
      <c r="D4" s="4">
        <v>11768471.02</v>
      </c>
    </row>
    <row r="5" customHeight="1" spans="1:4">
      <c r="A5" s="3" t="s">
        <v>90</v>
      </c>
      <c r="B5" s="10">
        <v>1282930.19</v>
      </c>
      <c r="C5">
        <v>5048665.89</v>
      </c>
      <c r="D5" s="4">
        <v>6331596.08</v>
      </c>
    </row>
    <row r="6" customHeight="1" spans="1:4">
      <c r="A6" s="3" t="s">
        <v>91</v>
      </c>
      <c r="B6" s="10">
        <v>4993484.7</v>
      </c>
      <c r="C6">
        <v>2045410.57</v>
      </c>
      <c r="D6" s="4">
        <v>7038895.27</v>
      </c>
    </row>
    <row r="7" customHeight="1" spans="1:4">
      <c r="A7" s="3" t="s">
        <v>92</v>
      </c>
      <c r="B7" s="10">
        <v>4501075.06</v>
      </c>
      <c r="C7">
        <v>3459881.63</v>
      </c>
      <c r="D7" s="4">
        <v>7960956.69</v>
      </c>
    </row>
    <row r="8" customHeight="1" spans="1:4">
      <c r="A8" s="3" t="s">
        <v>93</v>
      </c>
      <c r="B8" s="10">
        <v>6281343.49</v>
      </c>
      <c r="C8">
        <v>3682659.09</v>
      </c>
      <c r="D8" s="4">
        <v>9964002.58</v>
      </c>
    </row>
    <row r="9" customHeight="1" spans="1:4">
      <c r="A9" s="3" t="s">
        <v>94</v>
      </c>
      <c r="B9" s="10">
        <v>1351257.71</v>
      </c>
      <c r="C9">
        <v>4281404.51</v>
      </c>
      <c r="D9" s="4">
        <v>5632662.22</v>
      </c>
    </row>
    <row r="10" customHeight="1" spans="1:4">
      <c r="A10" s="3" t="s">
        <v>95</v>
      </c>
      <c r="B10" s="10">
        <v>4701952.98</v>
      </c>
      <c r="C10">
        <v>10486391.91</v>
      </c>
      <c r="D10" s="4">
        <v>15188344.89</v>
      </c>
    </row>
    <row r="11" customHeight="1" spans="1:4">
      <c r="A11" s="5" t="s">
        <v>87</v>
      </c>
      <c r="B11" s="5">
        <v>30581097.34</v>
      </c>
      <c r="C11" s="11">
        <v>42333109.65</v>
      </c>
      <c r="D11" s="6">
        <v>72914206.99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26"/>
  <sheetViews>
    <sheetView showGridLines="0" workbookViewId="0">
      <selection activeCell="L9" sqref="L9"/>
    </sheetView>
  </sheetViews>
  <sheetFormatPr defaultColWidth="14.4285714285714" defaultRowHeight="15" customHeight="1" outlineLevelCol="1"/>
  <cols>
    <col min="1" max="1" width="27.4285714285714" customWidth="1"/>
    <col min="2" max="2" width="17.1428571428571" customWidth="1"/>
  </cols>
  <sheetData>
    <row r="1" customHeight="1" spans="1:2">
      <c r="A1" s="1" t="s">
        <v>1</v>
      </c>
      <c r="B1" s="2" t="s">
        <v>86</v>
      </c>
    </row>
    <row r="2" customHeight="1" spans="1:2">
      <c r="A2" s="1" t="s">
        <v>61</v>
      </c>
      <c r="B2" s="2">
        <v>2135989.25</v>
      </c>
    </row>
    <row r="3" customHeight="1" spans="1:2">
      <c r="A3" s="3" t="s">
        <v>47</v>
      </c>
      <c r="B3" s="4">
        <v>3054317.54</v>
      </c>
    </row>
    <row r="4" customHeight="1" spans="1:2">
      <c r="A4" s="3" t="s">
        <v>83</v>
      </c>
      <c r="B4" s="4">
        <v>387758.75</v>
      </c>
    </row>
    <row r="5" customHeight="1" spans="1:2">
      <c r="A5" s="3" t="s">
        <v>27</v>
      </c>
      <c r="B5" s="4">
        <v>1813582.82</v>
      </c>
    </row>
    <row r="6" customHeight="1" spans="1:2">
      <c r="A6" s="3" t="s">
        <v>60</v>
      </c>
      <c r="B6" s="4">
        <v>4870045.34</v>
      </c>
    </row>
    <row r="7" customHeight="1" spans="1:2">
      <c r="A7" s="3" t="s">
        <v>80</v>
      </c>
      <c r="B7" s="4">
        <v>291993.26</v>
      </c>
    </row>
    <row r="8" customHeight="1" spans="1:2">
      <c r="A8" s="3" t="s">
        <v>74</v>
      </c>
      <c r="B8" s="4">
        <v>4776441.65</v>
      </c>
    </row>
    <row r="9" customHeight="1" spans="1:2">
      <c r="A9" s="3" t="s">
        <v>58</v>
      </c>
      <c r="B9" s="4">
        <v>2141896.18</v>
      </c>
    </row>
    <row r="10" customHeight="1" spans="1:2">
      <c r="A10" s="3" t="s">
        <v>22</v>
      </c>
      <c r="B10" s="4">
        <v>3946385.69</v>
      </c>
    </row>
    <row r="11" customHeight="1" spans="1:2">
      <c r="A11" s="3" t="s">
        <v>69</v>
      </c>
      <c r="B11" s="4">
        <v>2720551.74</v>
      </c>
    </row>
    <row r="12" customHeight="1" spans="1:2">
      <c r="A12" s="3" t="s">
        <v>16</v>
      </c>
      <c r="B12" s="4">
        <v>5305055.39</v>
      </c>
    </row>
    <row r="13" customHeight="1" spans="1:2">
      <c r="A13" s="3" t="s">
        <v>70</v>
      </c>
      <c r="B13" s="4">
        <v>2739928.85</v>
      </c>
    </row>
    <row r="14" customHeight="1" spans="1:2">
      <c r="A14" s="3" t="s">
        <v>82</v>
      </c>
      <c r="B14" s="4">
        <v>2582329.23</v>
      </c>
    </row>
    <row r="15" customHeight="1" spans="1:2">
      <c r="A15" s="3" t="s">
        <v>31</v>
      </c>
      <c r="B15" s="4">
        <v>3342909.36</v>
      </c>
    </row>
    <row r="16" customHeight="1" spans="1:2">
      <c r="A16" s="3" t="s">
        <v>42</v>
      </c>
      <c r="B16" s="4">
        <v>6952185.55</v>
      </c>
    </row>
    <row r="17" customHeight="1" spans="1:2">
      <c r="A17" s="3" t="s">
        <v>53</v>
      </c>
      <c r="B17" s="4">
        <v>2202094.53</v>
      </c>
    </row>
    <row r="18" customHeight="1" spans="1:2">
      <c r="A18" s="3" t="s">
        <v>63</v>
      </c>
      <c r="B18" s="4">
        <v>5839508.37</v>
      </c>
    </row>
    <row r="19" customHeight="1" spans="1:2">
      <c r="A19" s="3" t="s">
        <v>72</v>
      </c>
      <c r="B19" s="4">
        <v>1068217.38</v>
      </c>
    </row>
    <row r="20" customHeight="1" spans="1:2">
      <c r="A20" s="3" t="s">
        <v>37</v>
      </c>
      <c r="B20" s="4">
        <v>2266412.11</v>
      </c>
    </row>
    <row r="21" customHeight="1" spans="1:2">
      <c r="A21" s="3" t="s">
        <v>71</v>
      </c>
      <c r="B21" s="4">
        <v>4987642.07</v>
      </c>
    </row>
    <row r="22" customHeight="1" spans="1:2">
      <c r="A22" s="3" t="s">
        <v>67</v>
      </c>
      <c r="B22" s="4">
        <v>1439194.96</v>
      </c>
    </row>
    <row r="23" customHeight="1" spans="1:2">
      <c r="A23" s="3" t="s">
        <v>56</v>
      </c>
      <c r="B23" s="4">
        <v>1284848.58</v>
      </c>
    </row>
    <row r="24" customHeight="1" spans="1:2">
      <c r="A24" s="3" t="s">
        <v>46</v>
      </c>
      <c r="B24" s="4">
        <v>1763341.18</v>
      </c>
    </row>
    <row r="25" customHeight="1" spans="1:2">
      <c r="A25" s="3" t="s">
        <v>73</v>
      </c>
      <c r="B25" s="4">
        <v>3977541.15</v>
      </c>
    </row>
    <row r="26" customHeight="1" spans="1:2">
      <c r="A26" s="15" t="s">
        <v>50</v>
      </c>
      <c r="B26" s="16">
        <v>1024036.06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0"/>
  <sheetViews>
    <sheetView showGridLines="0" workbookViewId="0">
      <selection activeCell="C35" sqref="B35:C40"/>
    </sheetView>
  </sheetViews>
  <sheetFormatPr defaultColWidth="14.4285714285714" defaultRowHeight="15" customHeight="1" outlineLevelCol="1"/>
  <cols>
    <col min="1" max="1" width="15.8571428571429" customWidth="1"/>
    <col min="2" max="2" width="17.1428571428571" customWidth="1"/>
  </cols>
  <sheetData>
    <row r="1" customHeight="1" spans="1:2">
      <c r="A1" s="1" t="s">
        <v>6</v>
      </c>
      <c r="B1" s="2" t="s">
        <v>86</v>
      </c>
    </row>
    <row r="2" customHeight="1" spans="1:2">
      <c r="A2" s="1" t="s">
        <v>88</v>
      </c>
      <c r="B2" s="2">
        <v>9029278.24</v>
      </c>
    </row>
    <row r="3" customHeight="1" spans="1:2">
      <c r="A3" s="3" t="s">
        <v>89</v>
      </c>
      <c r="B3" s="4">
        <v>11768471.02</v>
      </c>
    </row>
    <row r="4" customHeight="1" spans="1:2">
      <c r="A4" s="3" t="s">
        <v>90</v>
      </c>
      <c r="B4" s="4">
        <v>6331596.08</v>
      </c>
    </row>
    <row r="5" customHeight="1" spans="1:2">
      <c r="A5" s="3" t="s">
        <v>91</v>
      </c>
      <c r="B5" s="4">
        <v>7038895.27</v>
      </c>
    </row>
    <row r="6" customHeight="1" spans="1:2">
      <c r="A6" s="3" t="s">
        <v>92</v>
      </c>
      <c r="B6" s="4">
        <v>7960956.69</v>
      </c>
    </row>
    <row r="7" customHeight="1" spans="1:2">
      <c r="A7" s="3" t="s">
        <v>93</v>
      </c>
      <c r="B7" s="4">
        <v>9964002.58</v>
      </c>
    </row>
    <row r="8" customHeight="1" spans="1:2">
      <c r="A8" s="3" t="s">
        <v>94</v>
      </c>
      <c r="B8" s="4">
        <v>5632662.22</v>
      </c>
    </row>
    <row r="9" customHeight="1" spans="1:2">
      <c r="A9" s="3" t="s">
        <v>95</v>
      </c>
      <c r="B9" s="4">
        <v>15188344.89</v>
      </c>
    </row>
    <row r="10" customHeight="1" spans="1:2">
      <c r="A10" s="5" t="s">
        <v>87</v>
      </c>
      <c r="B10" s="6">
        <v>72914206.99</v>
      </c>
    </row>
  </sheetData>
  <pageMargins left="0.75" right="0.75" top="1" bottom="1" header="0.5" footer="0.5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showGridLines="0" workbookViewId="0">
      <selection activeCell="V16" sqref="V16"/>
    </sheetView>
  </sheetViews>
  <sheetFormatPr defaultColWidth="14.4285714285714" defaultRowHeight="15" customHeight="1"/>
  <sheetData/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2"/>
  <sheetViews>
    <sheetView showGridLines="0" workbookViewId="0">
      <selection activeCell="M33" sqref="M33"/>
    </sheetView>
  </sheetViews>
  <sheetFormatPr defaultColWidth="14.4285714285714" defaultRowHeight="15" customHeight="1"/>
  <sheetData>
    <row r="1" customHeight="1" spans="1:9">
      <c r="A1" s="1" t="s">
        <v>2</v>
      </c>
      <c r="B1" s="2" t="s">
        <v>85</v>
      </c>
    </row>
    <row r="2" customHeight="1" spans="1:9">
      <c r="A2" s="1" t="s">
        <v>48</v>
      </c>
      <c r="B2" s="2">
        <v>19500839.2</v>
      </c>
    </row>
    <row r="3" customHeight="1" spans="1:9">
      <c r="A3" s="3" t="s">
        <v>32</v>
      </c>
      <c r="B3" s="4">
        <v>4627371.45</v>
      </c>
    </row>
    <row r="4" customHeight="1" spans="1:9">
      <c r="A4" s="3" t="s">
        <v>38</v>
      </c>
      <c r="B4" s="4">
        <v>13177142</v>
      </c>
    </row>
    <row r="5" customHeight="1" spans="1:9">
      <c r="A5" s="3" t="s">
        <v>68</v>
      </c>
      <c r="B5" s="4">
        <v>8368116</v>
      </c>
    </row>
    <row r="6" customHeight="1" spans="1:9">
      <c r="A6" s="3" t="s">
        <v>28</v>
      </c>
      <c r="B6" s="4">
        <v>39036276.4</v>
      </c>
    </row>
    <row r="7" customHeight="1" spans="1:9">
      <c r="A7" s="3" t="s">
        <v>57</v>
      </c>
      <c r="B7" s="4">
        <v>590589</v>
      </c>
    </row>
    <row r="8" customHeight="1" spans="1:9">
      <c r="A8" s="3" t="s">
        <v>17</v>
      </c>
      <c r="B8" s="4">
        <v>78446210.49</v>
      </c>
    </row>
    <row r="9" customHeight="1" spans="1:9">
      <c r="A9" s="3" t="s">
        <v>34</v>
      </c>
      <c r="B9" s="4">
        <v>43287231.12</v>
      </c>
      <c r="F9" t="s">
        <v>96</v>
      </c>
    </row>
    <row r="10" customHeight="1" spans="1:9">
      <c r="A10" s="3" t="s">
        <v>65</v>
      </c>
      <c r="B10" s="4">
        <v>14059636.68</v>
      </c>
      <c r="I10" t="s">
        <v>96</v>
      </c>
    </row>
    <row r="11" customHeight="1" spans="1:9">
      <c r="A11" s="3" t="s">
        <v>44</v>
      </c>
      <c r="B11" s="4">
        <v>10154556.78</v>
      </c>
    </row>
    <row r="12" customHeight="1" spans="1:9">
      <c r="A12" s="5" t="s">
        <v>87</v>
      </c>
      <c r="B12" s="6">
        <v>231247969.12</v>
      </c>
    </row>
  </sheetData>
  <pageMargins left="0.75" right="0.75" top="1" bottom="1" header="0.5" footer="0.5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6"/>
  <sheetViews>
    <sheetView showGridLines="0" workbookViewId="0">
      <selection activeCell="L7" sqref="L7"/>
    </sheetView>
  </sheetViews>
  <sheetFormatPr defaultColWidth="14.4285714285714" defaultRowHeight="15" customHeight="1" outlineLevelRow="5" outlineLevelCol="1"/>
  <sheetData>
    <row r="1" customHeight="1" spans="1:2">
      <c r="A1" s="1" t="s">
        <v>5</v>
      </c>
      <c r="B1" s="2" t="s">
        <v>85</v>
      </c>
    </row>
    <row r="2" customHeight="1" spans="1:2">
      <c r="A2" s="1" t="s">
        <v>20</v>
      </c>
      <c r="B2" s="2">
        <v>56597818.24</v>
      </c>
    </row>
    <row r="3" customHeight="1" spans="1:2">
      <c r="A3" s="3" t="s">
        <v>40</v>
      </c>
      <c r="B3" s="4">
        <v>56968622.72</v>
      </c>
    </row>
    <row r="4" customHeight="1" spans="1:2">
      <c r="A4" s="3" t="s">
        <v>36</v>
      </c>
      <c r="B4" s="4">
        <v>63186288.9</v>
      </c>
    </row>
    <row r="5" customHeight="1" spans="1:2">
      <c r="A5" s="3" t="s">
        <v>25</v>
      </c>
      <c r="B5" s="4">
        <v>54495239.26</v>
      </c>
    </row>
    <row r="6" customHeight="1" spans="1:2">
      <c r="A6" s="5" t="s">
        <v>87</v>
      </c>
      <c r="B6" s="6">
        <v>231247969.12</v>
      </c>
    </row>
  </sheetData>
  <pageMargins left="0.75" right="0.75" top="1" bottom="1" header="0.5" footer="0.5"/>
  <headerFooter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27"/>
  <sheetViews>
    <sheetView showGridLines="0" workbookViewId="0">
      <selection activeCell="A1" sqref="A1"/>
    </sheetView>
  </sheetViews>
  <sheetFormatPr defaultColWidth="14.4285714285714" defaultRowHeight="15" customHeight="1" outlineLevelCol="1"/>
  <cols>
    <col min="1" max="1" width="27.4285714285714" customWidth="1"/>
    <col min="2" max="2" width="19.8571428571429" customWidth="1"/>
  </cols>
  <sheetData>
    <row r="1" customHeight="1" spans="1:2">
      <c r="A1" s="1" t="s">
        <v>1</v>
      </c>
      <c r="B1" s="2" t="s">
        <v>85</v>
      </c>
    </row>
    <row r="2" customHeight="1" spans="1:2">
      <c r="A2" s="1" t="s">
        <v>61</v>
      </c>
      <c r="B2" s="2">
        <v>8116328.29</v>
      </c>
    </row>
    <row r="3" customHeight="1" spans="1:2">
      <c r="A3" s="3" t="s">
        <v>47</v>
      </c>
      <c r="B3" s="4">
        <v>10454132.91</v>
      </c>
    </row>
    <row r="4" customHeight="1" spans="1:2">
      <c r="A4" s="3" t="s">
        <v>83</v>
      </c>
      <c r="B4" s="4">
        <v>970412.5</v>
      </c>
    </row>
    <row r="5" customHeight="1" spans="1:2">
      <c r="A5" s="3" t="s">
        <v>27</v>
      </c>
      <c r="B5" s="4">
        <v>5132901.16</v>
      </c>
    </row>
    <row r="6" customHeight="1" spans="1:2">
      <c r="A6" s="3" t="s">
        <v>60</v>
      </c>
      <c r="B6" s="4">
        <v>16909681.06</v>
      </c>
    </row>
    <row r="7" customHeight="1" spans="1:2">
      <c r="A7" s="3" t="s">
        <v>80</v>
      </c>
      <c r="B7" s="4">
        <v>1496250.3</v>
      </c>
    </row>
    <row r="8" customHeight="1" spans="1:2">
      <c r="A8" s="3" t="s">
        <v>74</v>
      </c>
      <c r="B8" s="4">
        <v>12911060.88</v>
      </c>
    </row>
    <row r="9" customHeight="1" spans="1:2">
      <c r="A9" s="3" t="s">
        <v>58</v>
      </c>
      <c r="B9" s="4">
        <v>8494872</v>
      </c>
    </row>
    <row r="10" customHeight="1" spans="1:2">
      <c r="A10" s="3" t="s">
        <v>22</v>
      </c>
      <c r="B10" s="4">
        <v>11882462.09</v>
      </c>
    </row>
    <row r="11" customHeight="1" spans="1:2">
      <c r="A11" s="3" t="s">
        <v>69</v>
      </c>
      <c r="B11" s="4">
        <v>9067818.65</v>
      </c>
    </row>
    <row r="12" customHeight="1" spans="1:2">
      <c r="A12" s="3" t="s">
        <v>16</v>
      </c>
      <c r="B12" s="4">
        <v>19662429.12</v>
      </c>
    </row>
    <row r="13" customHeight="1" spans="1:2">
      <c r="A13" s="3" t="s">
        <v>70</v>
      </c>
      <c r="B13" s="4">
        <v>10235650.63</v>
      </c>
    </row>
    <row r="14" customHeight="1" spans="1:2">
      <c r="A14" s="3" t="s">
        <v>82</v>
      </c>
      <c r="B14" s="4">
        <v>6025244.15</v>
      </c>
    </row>
    <row r="15" customHeight="1" spans="1:2">
      <c r="A15" s="3" t="s">
        <v>31</v>
      </c>
      <c r="B15" s="4">
        <v>11361369.48</v>
      </c>
    </row>
    <row r="16" customHeight="1" spans="1:2">
      <c r="A16" s="3" t="s">
        <v>42</v>
      </c>
      <c r="B16" s="4">
        <v>23045177.28</v>
      </c>
    </row>
    <row r="17" customHeight="1" spans="1:2">
      <c r="A17" s="3" t="s">
        <v>53</v>
      </c>
      <c r="B17" s="4">
        <v>5224038.37</v>
      </c>
    </row>
    <row r="18" customHeight="1" spans="1:2">
      <c r="A18" s="3" t="s">
        <v>63</v>
      </c>
      <c r="B18" s="4">
        <v>16274906.85</v>
      </c>
    </row>
    <row r="19" customHeight="1" spans="1:2">
      <c r="A19" s="3" t="s">
        <v>72</v>
      </c>
      <c r="B19" s="4">
        <v>3079267.8</v>
      </c>
    </row>
    <row r="20" customHeight="1" spans="1:2">
      <c r="A20" s="3" t="s">
        <v>37</v>
      </c>
      <c r="B20" s="4">
        <v>5562864.35</v>
      </c>
    </row>
    <row r="21" customHeight="1" spans="1:2">
      <c r="A21" s="3" t="s">
        <v>71</v>
      </c>
      <c r="B21" s="4">
        <v>17932090.42</v>
      </c>
    </row>
    <row r="22" customHeight="1" spans="1:2">
      <c r="A22" s="3" t="s">
        <v>67</v>
      </c>
      <c r="B22" s="4">
        <v>3024939.19</v>
      </c>
    </row>
    <row r="23" customHeight="1" spans="1:2">
      <c r="A23" s="3" t="s">
        <v>56</v>
      </c>
      <c r="B23" s="4">
        <v>2706417.29</v>
      </c>
    </row>
    <row r="24" customHeight="1" spans="1:2">
      <c r="A24" s="3" t="s">
        <v>46</v>
      </c>
      <c r="B24" s="4">
        <v>7455248.24</v>
      </c>
    </row>
    <row r="25" customHeight="1" spans="1:2">
      <c r="A25" s="3" t="s">
        <v>73</v>
      </c>
      <c r="B25" s="4">
        <v>11510393.37</v>
      </c>
    </row>
    <row r="26" customHeight="1" spans="1:2">
      <c r="A26" s="3" t="s">
        <v>50</v>
      </c>
      <c r="B26" s="4">
        <v>2712012.74</v>
      </c>
    </row>
    <row r="27" customHeight="1" spans="1:2">
      <c r="A27" s="5" t="s">
        <v>87</v>
      </c>
      <c r="B27" s="6">
        <v>231247969.12</v>
      </c>
    </row>
  </sheetData>
  <pageMargins left="0.75" right="0.75" top="1" bottom="1" header="0.5" footer="0.5"/>
  <headerFooter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"/>
  <sheetViews>
    <sheetView showGridLines="0" workbookViewId="0">
      <selection activeCell="A1" sqref="A1"/>
    </sheetView>
  </sheetViews>
  <sheetFormatPr defaultColWidth="14.4285714285714" defaultRowHeight="15" customHeight="1" outlineLevelCol="2"/>
  <cols>
    <col min="2" max="2" width="19.8571428571429" customWidth="1"/>
    <col min="3" max="3" width="16.2857142857143" customWidth="1"/>
  </cols>
  <sheetData>
    <row r="1" customHeight="1" spans="1:3">
      <c r="A1" s="1"/>
      <c r="B1" s="1"/>
      <c r="C1" s="2"/>
    </row>
    <row r="2" customHeight="1" spans="1:3">
      <c r="A2" s="1" t="s">
        <v>0</v>
      </c>
      <c r="B2" s="1" t="s">
        <v>85</v>
      </c>
      <c r="C2" s="12" t="s">
        <v>97</v>
      </c>
    </row>
    <row r="3" customHeight="1" spans="1:3">
      <c r="A3" s="1" t="s">
        <v>30</v>
      </c>
      <c r="B3" s="1">
        <v>19664675.65</v>
      </c>
      <c r="C3" s="12">
        <v>13051454.38</v>
      </c>
    </row>
    <row r="4" customHeight="1" spans="1:3">
      <c r="A4" s="3" t="s">
        <v>15</v>
      </c>
      <c r="B4" s="10">
        <v>39184380.68</v>
      </c>
      <c r="C4" s="13">
        <v>28104456.01</v>
      </c>
    </row>
    <row r="5" customHeight="1" spans="1:3">
      <c r="A5" s="3" t="s">
        <v>41</v>
      </c>
      <c r="B5" s="10">
        <v>40977267.7</v>
      </c>
      <c r="C5" s="13">
        <v>29037440.08</v>
      </c>
    </row>
    <row r="6" customHeight="1" spans="1:3">
      <c r="A6" s="3" t="s">
        <v>21</v>
      </c>
      <c r="B6" s="10">
        <v>48278111.23</v>
      </c>
      <c r="C6" s="13">
        <v>32824095.43</v>
      </c>
    </row>
    <row r="7" customHeight="1" spans="1:3">
      <c r="A7" s="3" t="s">
        <v>62</v>
      </c>
      <c r="B7" s="10">
        <v>32210906.92</v>
      </c>
      <c r="C7" s="13">
        <v>20155761.94</v>
      </c>
    </row>
    <row r="8" customHeight="1" spans="1:3">
      <c r="A8" s="3" t="s">
        <v>26</v>
      </c>
      <c r="B8" s="10">
        <v>13870158.05</v>
      </c>
      <c r="C8" s="13">
        <v>8450209.94</v>
      </c>
    </row>
    <row r="9" customHeight="1" spans="1:3">
      <c r="A9" s="3" t="s">
        <v>45</v>
      </c>
      <c r="B9" s="10">
        <v>37062468.89</v>
      </c>
      <c r="C9" s="13">
        <v>26710344.35</v>
      </c>
    </row>
    <row r="10" customHeight="1" spans="1:3">
      <c r="A10" s="5" t="s">
        <v>87</v>
      </c>
      <c r="B10" s="5">
        <v>231247969.12</v>
      </c>
      <c r="C10" s="14">
        <v>158333762.13</v>
      </c>
    </row>
  </sheetData>
  <pageMargins left="0.75" right="0.75" top="1" bottom="1" header="0.5" footer="0.5"/>
  <headerFooter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1"/>
  <sheetViews>
    <sheetView showGridLines="0" workbookViewId="0">
      <selection activeCell="A16" sqref="A16"/>
    </sheetView>
  </sheetViews>
  <sheetFormatPr defaultColWidth="14.4285714285714" defaultRowHeight="15" customHeight="1"/>
  <cols>
    <col min="1" max="1" width="19.7142857142857" customWidth="1"/>
    <col min="2" max="2" width="12.2857142857143" customWidth="1"/>
    <col min="3" max="3" width="19.7142857142857" customWidth="1"/>
    <col min="4" max="4" width="30.8571428571429" customWidth="1"/>
    <col min="6" max="6" width="25.7142857142857" customWidth="1"/>
    <col min="8" max="8" width="17.1428571428571" customWidth="1"/>
  </cols>
  <sheetData>
    <row r="1" customHeight="1" spans="1:9">
      <c r="A1" s="1" t="s">
        <v>85</v>
      </c>
      <c r="B1" s="1" t="s">
        <v>0</v>
      </c>
      <c r="C1" s="1"/>
      <c r="D1" s="7"/>
      <c r="E1" s="7"/>
      <c r="F1" s="7"/>
      <c r="G1" s="7"/>
      <c r="H1" s="7"/>
      <c r="I1" s="8"/>
    </row>
    <row r="2" customHeight="1" spans="1:9">
      <c r="A2" s="1" t="s">
        <v>6</v>
      </c>
      <c r="B2" s="1" t="s">
        <v>30</v>
      </c>
      <c r="C2" s="9" t="s">
        <v>15</v>
      </c>
      <c r="D2" s="9" t="s">
        <v>41</v>
      </c>
      <c r="E2" s="9" t="s">
        <v>21</v>
      </c>
      <c r="F2" s="9" t="s">
        <v>62</v>
      </c>
      <c r="G2" s="9" t="s">
        <v>26</v>
      </c>
      <c r="H2" s="9" t="s">
        <v>45</v>
      </c>
      <c r="I2" s="2" t="s">
        <v>87</v>
      </c>
    </row>
    <row r="3" customHeight="1" spans="1:9">
      <c r="A3" s="1" t="s">
        <v>88</v>
      </c>
      <c r="B3" s="1">
        <v>1008858.96</v>
      </c>
      <c r="C3" s="9">
        <v>7677418.11</v>
      </c>
      <c r="D3" s="9">
        <v>4628648.76</v>
      </c>
      <c r="E3" s="9">
        <v>10692367.2</v>
      </c>
      <c r="F3" s="9">
        <v>730755.36</v>
      </c>
      <c r="G3" s="9">
        <v>2706300.8</v>
      </c>
      <c r="H3" s="9">
        <v>1912792.16</v>
      </c>
      <c r="I3" s="2">
        <v>29357141.35</v>
      </c>
    </row>
    <row r="4" customHeight="1" spans="1:9">
      <c r="A4" s="3" t="s">
        <v>89</v>
      </c>
      <c r="B4" s="10">
        <v>1741540.67</v>
      </c>
      <c r="C4">
        <v>10943964.55</v>
      </c>
      <c r="D4">
        <v>9736649.16</v>
      </c>
      <c r="E4">
        <v>2204362.4</v>
      </c>
      <c r="F4">
        <v>3228207.41</v>
      </c>
      <c r="G4">
        <v>185488.24</v>
      </c>
      <c r="H4">
        <v>14214085.65</v>
      </c>
      <c r="I4" s="4">
        <v>42254298.08</v>
      </c>
    </row>
    <row r="5" customHeight="1" spans="1:9">
      <c r="A5" s="3" t="s">
        <v>90</v>
      </c>
      <c r="B5" s="10">
        <v>7857551.39</v>
      </c>
      <c r="C5">
        <v>963571.85</v>
      </c>
      <c r="D5">
        <v>1192650.94</v>
      </c>
      <c r="E5">
        <v>5507135.68</v>
      </c>
      <c r="F5">
        <v>1438462.14</v>
      </c>
      <c r="G5">
        <v>2230872.18</v>
      </c>
      <c r="H5">
        <v>951936.74</v>
      </c>
      <c r="I5" s="4">
        <v>20142180.92</v>
      </c>
    </row>
    <row r="6" customHeight="1" spans="1:9">
      <c r="A6" s="3" t="s">
        <v>91</v>
      </c>
      <c r="B6" s="10">
        <v>219106.4</v>
      </c>
      <c r="C6">
        <v>720155.2</v>
      </c>
      <c r="D6">
        <v>8444932.68</v>
      </c>
      <c r="E6">
        <v>728164.82</v>
      </c>
      <c r="F6">
        <v>1644132.92</v>
      </c>
      <c r="G6">
        <v>1422655.92</v>
      </c>
      <c r="H6">
        <v>7055998.33</v>
      </c>
      <c r="I6" s="4">
        <v>20235146.27</v>
      </c>
    </row>
    <row r="7" customHeight="1" spans="1:9">
      <c r="A7" s="3" t="s">
        <v>92</v>
      </c>
      <c r="B7" s="10">
        <v>1562801.62</v>
      </c>
      <c r="C7">
        <v>1999714.02</v>
      </c>
      <c r="D7">
        <v>1919079.36</v>
      </c>
      <c r="E7">
        <v>747489.42</v>
      </c>
      <c r="F7">
        <v>9641432.78</v>
      </c>
      <c r="H7">
        <v>7423063.18</v>
      </c>
      <c r="I7" s="4">
        <v>23293580.38</v>
      </c>
    </row>
    <row r="8" customHeight="1" spans="1:9">
      <c r="A8" s="3" t="s">
        <v>93</v>
      </c>
      <c r="B8" s="10">
        <v>4265972.18</v>
      </c>
      <c r="C8">
        <v>4593777.82</v>
      </c>
      <c r="D8">
        <v>8880199.51</v>
      </c>
      <c r="E8">
        <v>7670080.26</v>
      </c>
      <c r="F8">
        <v>3895038.86</v>
      </c>
      <c r="G8">
        <v>1025157.19</v>
      </c>
      <c r="H8">
        <v>81935.46</v>
      </c>
      <c r="I8" s="4">
        <v>30412161.28</v>
      </c>
    </row>
    <row r="9" customHeight="1" spans="1:9">
      <c r="A9" s="3" t="s">
        <v>94</v>
      </c>
      <c r="B9" s="10">
        <v>137177.95</v>
      </c>
      <c r="C9">
        <v>3059244.57</v>
      </c>
      <c r="D9">
        <v>141531.17</v>
      </c>
      <c r="E9">
        <v>5885826.26</v>
      </c>
      <c r="F9">
        <v>1215132.8</v>
      </c>
      <c r="G9">
        <v>5184470.68</v>
      </c>
      <c r="H9">
        <v>1970237.58</v>
      </c>
      <c r="I9" s="4">
        <v>17593621.01</v>
      </c>
    </row>
    <row r="10" customHeight="1" spans="1:9">
      <c r="A10" s="3" t="s">
        <v>95</v>
      </c>
      <c r="B10" s="10">
        <v>2871666.48</v>
      </c>
      <c r="C10">
        <v>9226534.56</v>
      </c>
      <c r="D10">
        <v>6033576.12</v>
      </c>
      <c r="E10">
        <v>14842685.19</v>
      </c>
      <c r="F10">
        <v>10417744.65</v>
      </c>
      <c r="G10">
        <v>1115213.04</v>
      </c>
      <c r="H10">
        <v>3452419.79</v>
      </c>
      <c r="I10" s="4">
        <v>47959839.83</v>
      </c>
    </row>
    <row r="11" customHeight="1" spans="1:9">
      <c r="A11" s="5" t="s">
        <v>87</v>
      </c>
      <c r="B11" s="5">
        <v>19664675.65</v>
      </c>
      <c r="C11" s="11">
        <v>39184380.68</v>
      </c>
      <c r="D11" s="11">
        <v>40977267.7</v>
      </c>
      <c r="E11" s="11">
        <v>48278111.23</v>
      </c>
      <c r="F11" s="11">
        <v>32210906.92</v>
      </c>
      <c r="G11" s="11">
        <v>13870158.05</v>
      </c>
      <c r="H11" s="11">
        <v>37062468.89</v>
      </c>
      <c r="I11" s="6">
        <v>231247969.12</v>
      </c>
    </row>
  </sheetData>
  <pageMargins left="0.75" right="0.75" top="1" bottom="1" header="0.5" footer="0.5"/>
  <headerFooter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0"/>
  <sheetViews>
    <sheetView showGridLines="0" workbookViewId="0">
      <selection activeCell="L20" sqref="L20"/>
    </sheetView>
  </sheetViews>
  <sheetFormatPr defaultColWidth="14.4285714285714" defaultRowHeight="15" customHeight="1" outlineLevelCol="1"/>
  <sheetData>
    <row r="1" customHeight="1" spans="1:2">
      <c r="A1" s="1" t="s">
        <v>6</v>
      </c>
      <c r="B1" s="2" t="s">
        <v>85</v>
      </c>
    </row>
    <row r="2" customHeight="1" spans="1:2">
      <c r="A2" s="1" t="s">
        <v>88</v>
      </c>
      <c r="B2" s="2">
        <v>29357141.35</v>
      </c>
    </row>
    <row r="3" customHeight="1" spans="1:2">
      <c r="A3" s="3" t="s">
        <v>89</v>
      </c>
      <c r="B3" s="4">
        <v>42254298.08</v>
      </c>
    </row>
    <row r="4" customHeight="1" spans="1:2">
      <c r="A4" s="3" t="s">
        <v>90</v>
      </c>
      <c r="B4" s="4">
        <v>20142180.92</v>
      </c>
    </row>
    <row r="5" customHeight="1" spans="1:2">
      <c r="A5" s="3" t="s">
        <v>91</v>
      </c>
      <c r="B5" s="4">
        <v>20235146.27</v>
      </c>
    </row>
    <row r="6" customHeight="1" spans="1:2">
      <c r="A6" s="3" t="s">
        <v>92</v>
      </c>
      <c r="B6" s="4">
        <v>23293580.38</v>
      </c>
    </row>
    <row r="7" customHeight="1" spans="1:2">
      <c r="A7" s="3" t="s">
        <v>93</v>
      </c>
      <c r="B7" s="4">
        <v>30412161.28</v>
      </c>
    </row>
    <row r="8" customHeight="1" spans="1:2">
      <c r="A8" s="3" t="s">
        <v>94</v>
      </c>
      <c r="B8" s="4">
        <v>17593621.01</v>
      </c>
    </row>
    <row r="9" customHeight="1" spans="1:2">
      <c r="A9" s="3" t="s">
        <v>95</v>
      </c>
      <c r="B9" s="4">
        <v>47959839.83</v>
      </c>
    </row>
    <row r="10" customHeight="1" spans="1:2">
      <c r="A10" s="5" t="s">
        <v>87</v>
      </c>
      <c r="B10" s="6">
        <v>231247969.12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Sales_Data</vt:lpstr>
      <vt:lpstr>Profit Dashboard</vt:lpstr>
      <vt:lpstr>Revenue &amp; Profit by Items</vt:lpstr>
      <vt:lpstr>Profit by Sales Channel</vt:lpstr>
      <vt:lpstr>Profit by year &amp; sc</vt:lpstr>
      <vt:lpstr>Profit by Country</vt:lpstr>
      <vt:lpstr>Profit by Year</vt:lpstr>
      <vt:lpstr>Revenue Dashboard on Sales</vt:lpstr>
      <vt:lpstr>Rev by Items</vt:lpstr>
      <vt:lpstr>Revenue by OP</vt:lpstr>
      <vt:lpstr>Revenue by Countries</vt:lpstr>
      <vt:lpstr>Revenue &amp; Total Cost</vt:lpstr>
      <vt:lpstr>Revenue by Year and Regions</vt:lpstr>
      <vt:lpstr>Revenue by Year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Nidhi Singhal</cp:lastModifiedBy>
  <dcterms:created xsi:type="dcterms:W3CDTF">2026-10-04T14:04:23Z</dcterms:created>
  <dcterms:modified xsi:type="dcterms:W3CDTF">2026-10-04T15:43:33Z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8ACA66BC2AB24F7BBEA72C909FE1B59F_13</vt:lpwstr>
  </property>
</Properties>
</file>